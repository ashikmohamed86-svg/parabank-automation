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 Report" sheetId="2" state="visible" r:id="rId4"/>
    <sheet name="Automation Mapping" sheetId="3" state="visible" r:id="rId5"/>
    <sheet name="Dashboard" sheetId="4" state="visible" r:id="rId6"/>
    <sheet name="Guideli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<sst xmlns="http://schemas.openxmlformats.org/spreadsheetml/2006/main" count="856" uniqueCount="353">
  <si>
    <t xml:space="preserve">ParaBank Sign-Up &amp; Login Automation  -  Test Case Suite</t>
  </si>
  <si>
    <t xml:space="preserve">Application: https://parabank.parasoft.com/parabank/   |   Framework: Playwright + TypeScript, BDD + POM   |   33 automated test cases   |   Latest run: 24-May-2026 - PASS (33 / 33)</t>
  </si>
  <si>
    <t xml:space="preserve">TC ID</t>
  </si>
  <si>
    <t xml:space="preserve">Smoke</t>
  </si>
  <si>
    <t xml:space="preserve">Reg.</t>
  </si>
  <si>
    <t xml:space="preserve">E2E</t>
  </si>
  <si>
    <t xml:space="preserve">Auto</t>
  </si>
  <si>
    <t xml:space="preserve">Test Type</t>
  </si>
  <si>
    <t xml:space="preserve">Module</t>
  </si>
  <si>
    <t xml:space="preserve">Functional Area</t>
  </si>
  <si>
    <t xml:space="preserve">Test Case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</si>
  <si>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</si>
  <si>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</si>
  <si>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</si>
  <si>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</si>
  <si>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</si>
  <si>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</si>
  <si>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Remarks</t>
  </si>
  <si>
    <t xml:space="preserve">  Functional Tests</t>
  </si>
  <si>
    <t xml:space="preserve">TC-001</t>
  </si>
  <si>
    <t xml:space="preserve">Y</t>
  </si>
  <si>
    <t xml:space="preserve">-</t>
  </si>
  <si>
    <t xml:space="preserve">Functional</t>
  </si>
  <si>
    <t xml:space="preserve">Account Registration</t>
  </si>
  <si>
    <t xml:space="preserve">Form Submission</t>
  </si>
  <si>
    <t xml:space="preserve">Register a new customer with valid details</t>
  </si>
  <si>
    <t xml:space="preserve">ParaBank is reachable; no customer is signed in.</t>
  </si>
  <si>
    <t xml:space="preserve">1. Open the registration page (/register.htm).
2. Complete every mandatory field with valid data.
3. Enter a unique username and matching passwords.
4. Click 'Register'.</t>
  </si>
  <si>
    <t xml:space="preserve">Valid customer data; unique username; Password = Confirm Password.</t>
  </si>
  <si>
    <t xml:space="preserve">Account is created. Message "Your account was created successfully. You are now logged in." is shown and the customer is auto-signed-in.</t>
  </si>
  <si>
    <t xml:space="preserve">P1 - High</t>
  </si>
  <si>
    <t xml:space="preserve">Pass</t>
  </si>
  <si>
    <t xml:space="preserve">TC-002</t>
  </si>
  <si>
    <t xml:space="preserve">Field Validation</t>
  </si>
  <si>
    <t xml:space="preserve">Registration is rejected when mandatory fields are empty</t>
  </si>
  <si>
    <t xml:space="preserve">ParaBank is reachable.</t>
  </si>
  <si>
    <t xml:space="preserve">1. Open /register.htm.
2. Leave every field blank.
3. Click 'Register'.</t>
  </si>
  <si>
    <t xml:space="preserve">None (all fields empty).</t>
  </si>
  <si>
    <t xml:space="preserve">Registration is blocked; field-level errors are shown ("First name is required.", etc.).</t>
  </si>
  <si>
    <t xml:space="preserve">P2 - Medium</t>
  </si>
  <si>
    <t xml:space="preserve">TC-003</t>
  </si>
  <si>
    <t xml:space="preserve">Duplicate Detection</t>
  </si>
  <si>
    <t xml:space="preserve">Registration is rejected for an already registered username</t>
  </si>
  <si>
    <t xml:space="preserve">A customer account has already been registered.</t>
  </si>
  <si>
    <t xml:space="preserve">1. Register a customer and note the username.
2. Log out.
3. Open /register.htm.
4. Register again with the same username.
5. Click 'Register'.</t>
  </si>
  <si>
    <t xml:space="preserve">An already-registered username.</t>
  </si>
  <si>
    <t xml:space="preserve">Registration is rejected with the error "This username already exists.".</t>
  </si>
  <si>
    <t xml:space="preserve">TC-004</t>
  </si>
  <si>
    <t xml:space="preserve">Account Login</t>
  </si>
  <si>
    <t xml:space="preserve">Authentication</t>
  </si>
  <si>
    <t xml:space="preserve">Sign in with a new account and view the post-login balance</t>
  </si>
  <si>
    <t xml:space="preserve">A registered account exists; no customer is signed in.</t>
  </si>
  <si>
    <t xml:space="preserve">1. Register a customer and log out.
2. Enter the username and password on the home page.
3. Click 'Log In'.
4. Read the balance on the Accounts Overview page.</t>
  </si>
  <si>
    <t xml:space="preserve">Valid credentials of the new account.</t>
  </si>
  <si>
    <t xml:space="preserve">Login succeeds; Accounts Overview is shown; the balance is displayed in currency format (e.g. $515.50) and logged to the console and balance.log.</t>
  </si>
  <si>
    <t xml:space="preserve">TC-005</t>
  </si>
  <si>
    <t xml:space="preserve">Sign in is rejected with invalid credentials</t>
  </si>
  <si>
    <t xml:space="preserve">On the home page; no customer is signed in.</t>
  </si>
  <si>
    <t xml:space="preserve">1. Open /index.htm.
2. Enter a non-existent username and a wrong password.
3. Click 'Log In'.</t>
  </si>
  <si>
    <t xml:space="preserve">Username: no_such_user_2026 / Password: WrongPassword!1.</t>
  </si>
  <si>
    <t xml:space="preserve">Login fails with the error "The username and password could not be verified.".</t>
  </si>
  <si>
    <t xml:space="preserve">TC-006</t>
  </si>
  <si>
    <t xml:space="preserve">Session Management</t>
  </si>
  <si>
    <t xml:space="preserve">Log out ends the session and returns to the login page</t>
  </si>
  <si>
    <t xml:space="preserve">A registered account exists.</t>
  </si>
  <si>
    <t xml:space="preserve">1. Register a customer and log out.
2. Sign in with the credentials.
3. Click 'Log Out'.</t>
  </si>
  <si>
    <t xml:space="preserve">Valid credentials.</t>
  </si>
  <si>
    <t xml:space="preserve">The session ends and the Customer Login page is displayed.</t>
  </si>
  <si>
    <t xml:space="preserve">  Boundary &amp; Validation Tests</t>
  </si>
  <si>
    <t xml:space="preserve">TC-007</t>
  </si>
  <si>
    <t xml:space="preserve">Boundary</t>
  </si>
  <si>
    <t xml:space="preserve">Password Rules</t>
  </si>
  <si>
    <t xml:space="preserve">Registration is rejected when the password confirmation does not match</t>
  </si>
  <si>
    <t xml:space="preserve">On the registration page.</t>
  </si>
  <si>
    <t xml:space="preserve">1. Open /register.htm.
2. Complete all valid fields.
3. Enter a Password and a different Confirm Password.
4. Click 'Register'.</t>
  </si>
  <si>
    <t xml:space="preserve">Password != Confirm Password.</t>
  </si>
  <si>
    <t xml:space="preserve">Registration is rejected with the error "Passwords did not match.".</t>
  </si>
  <si>
    <t xml:space="preserve">TC-008</t>
  </si>
  <si>
    <t xml:space="preserve">Mandatory Fields</t>
  </si>
  <si>
    <t xml:space="preserve">Registration is rejected when only some mandatory fields are completed</t>
  </si>
  <si>
    <t xml:space="preserve">1. Open /register.htm.
2. Complete only First Name and Last Name.
3. Click 'Register'.</t>
  </si>
  <si>
    <t xml:space="preserve">Partial form - name fields only.</t>
  </si>
  <si>
    <t xml:space="preserve">Registration is rejected; validation errors are shown for the remaining mandatory fields (Address, City, ...).</t>
  </si>
  <si>
    <t xml:space="preserve">TC-009</t>
  </si>
  <si>
    <t xml:space="preserve">Input Boundaries</t>
  </si>
  <si>
    <t xml:space="preserve">Registration succeeds with minimum-length field values</t>
  </si>
  <si>
    <t xml:space="preserve">1. Open /register.htm.
2. Fill each field with a single-character value.
3. Click 'Register'.</t>
  </si>
  <si>
    <t xml:space="preserve">1-character field values; unique username.</t>
  </si>
  <si>
    <t xml:space="preserve">The lower input boundary is accepted and the account is created successfully.</t>
  </si>
  <si>
    <t xml:space="preserve">P3 - Low</t>
  </si>
  <si>
    <t xml:space="preserve">TC-010</t>
  </si>
  <si>
    <t xml:space="preserve">Registration succeeds with maximum-length field values</t>
  </si>
  <si>
    <t xml:space="preserve">1. Open /register.htm.
2. Fill each field with long (24-40 character) values.
3. Click 'Register'.</t>
  </si>
  <si>
    <t xml:space="preserve">Long field values; unique username.</t>
  </si>
  <si>
    <t xml:space="preserve">The upper input boundary is accepted and the account is created successfully.</t>
  </si>
  <si>
    <t xml:space="preserve">TC-011</t>
  </si>
  <si>
    <t xml:space="preserve">Registration succeeds with special-character field values</t>
  </si>
  <si>
    <t xml:space="preserve">1. Open /register.htm.
2. Fill name/address fields with hyphen and apostrophe characters.
3. Click 'Register'.</t>
  </si>
  <si>
    <t xml:space="preserve">Names such as Mary-Jane, O'Brien-D'Souza.</t>
  </si>
  <si>
    <t xml:space="preserve">Special characters are accepted and the account is created successfully.</t>
  </si>
  <si>
    <t xml:space="preserve">TC-012</t>
  </si>
  <si>
    <t xml:space="preserve">Credential Validation</t>
  </si>
  <si>
    <t xml:space="preserve">Login is rejected when the username is empty</t>
  </si>
  <si>
    <t xml:space="preserve">1. Open /index.htm.
2. Leave the username empty; enter a password.
3. Click 'Log In'.</t>
  </si>
  <si>
    <t xml:space="preserve">Empty username.</t>
  </si>
  <si>
    <t xml:space="preserve">Login is rejected and an error message is displayed ("Please enter a username and password.").</t>
  </si>
  <si>
    <t xml:space="preserve">TC-013</t>
  </si>
  <si>
    <t xml:space="preserve">Login is rejected when the password is empty</t>
  </si>
  <si>
    <t xml:space="preserve">1. Open /index.htm.
2. Enter a username; leave the password empty.
3. Click 'Log In'.</t>
  </si>
  <si>
    <t xml:space="preserve">Empty password.</t>
  </si>
  <si>
    <t xml:space="preserve">TC-014</t>
  </si>
  <si>
    <t xml:space="preserve">Login is rejected when both username and password are empty</t>
  </si>
  <si>
    <t xml:space="preserve">1. Open /index.htm.
2. Leave both fields empty.
3. Click 'Log In'.</t>
  </si>
  <si>
    <t xml:space="preserve">Empty username and password.</t>
  </si>
  <si>
    <t xml:space="preserve">Login is rejected and the error "Please enter a username and password." is displayed.</t>
  </si>
  <si>
    <t xml:space="preserve">  Security Tests</t>
  </si>
  <si>
    <t xml:space="preserve">TC-015</t>
  </si>
  <si>
    <t xml:space="preserve">Security</t>
  </si>
  <si>
    <t xml:space="preserve">Input Masking</t>
  </si>
  <si>
    <t xml:space="preserve">Registration Password field masks the entered characters</t>
  </si>
  <si>
    <t xml:space="preserve">1. Open /register.htm.
2. Type into the Password field.
3. Inspect the field input type.</t>
  </si>
  <si>
    <t xml:space="preserve">Any password value.</t>
  </si>
  <si>
    <t xml:space="preserve">The Password field is of type 'password'; typed characters are not shown in clear text.</t>
  </si>
  <si>
    <t xml:space="preserve">TC-016</t>
  </si>
  <si>
    <t xml:space="preserve">Registration Confirm Password field masks the entered characters</t>
  </si>
  <si>
    <t xml:space="preserve">1. Open /register.htm.
2. Type into the Confirm Password field.
3. Inspect the field input type.</t>
  </si>
  <si>
    <t xml:space="preserve">The Confirm Password field is of type 'password'; typed characters are masked.</t>
  </si>
  <si>
    <t xml:space="preserve">TC-017</t>
  </si>
  <si>
    <t xml:space="preserve">Login Password field masks the entered characters</t>
  </si>
  <si>
    <t xml:space="preserve">On the home page.</t>
  </si>
  <si>
    <t xml:space="preserve">1. Open /index.htm.
2. Type into the login Password field.
3. Inspect the field input type.</t>
  </si>
  <si>
    <t xml:space="preserve">The login Password field is of type 'password'; typed characters are masked.</t>
  </si>
  <si>
    <t xml:space="preserve">TC-018</t>
  </si>
  <si>
    <t xml:space="preserve">Injection Defence</t>
  </si>
  <si>
    <t xml:space="preserve">SQL injection in the login form does not bypass authentication</t>
  </si>
  <si>
    <t xml:space="preserve">1. Open /index.htm.
2. Enter a SQL injection payload as username and password.
3. Click 'Log In'.</t>
  </si>
  <si>
    <t xml:space="preserve">Payload: ' OR '1'='1</t>
  </si>
  <si>
    <t xml:space="preserve">Authentication is not bypassed; the customer is not signed in and the Accounts Overview is not reached (request rejected by the application / WAF).</t>
  </si>
  <si>
    <t xml:space="preserve">TC-019</t>
  </si>
  <si>
    <t xml:space="preserve">HTML / script injection in the first name field is neutralised</t>
  </si>
  <si>
    <t xml:space="preserve">1. Open /register.htm.
2. Register with an HTML payload (e.g. &lt;b&gt;...&lt;/b&gt;) as the First Name.
3. View the post-registration page.</t>
  </si>
  <si>
    <t xml:space="preserve">First Name: &lt;b&gt;QA-XSS&lt;/b&gt;</t>
  </si>
  <si>
    <t xml:space="preserve">Expected: the injected markup is escaped and never rendered as live page content.</t>
  </si>
  <si>
    <t xml:space="preserve">Observation</t>
  </si>
  <si>
    <t xml:space="preserve">KNOWN DEFECT: ParaBank renders the first name unescaped, confirming a stored XSS / HTML-injection exposure. The scenario is tagged @fail (expected failure) so the regression suite stays green while flagging the issue.</t>
  </si>
  <si>
    <t xml:space="preserve">TC-020</t>
  </si>
  <si>
    <t xml:space="preserve">Cross-cutting</t>
  </si>
  <si>
    <t xml:space="preserve">Transport Security</t>
  </si>
  <si>
    <t xml:space="preserve">The application is served over a secure HTTPS connection</t>
  </si>
  <si>
    <t xml:space="preserve">1. Open the ParaBank home page.
2. Inspect the page URL scheme.</t>
  </si>
  <si>
    <t xml:space="preserve">None.</t>
  </si>
  <si>
    <t xml:space="preserve">The page is served over https:// - traffic is encrypted in transit.</t>
  </si>
  <si>
    <t xml:space="preserve">TC-021</t>
  </si>
  <si>
    <t xml:space="preserve">Session Hardening</t>
  </si>
  <si>
    <t xml:space="preserve">The session cookie is protected with the HttpOnly flag</t>
  </si>
  <si>
    <t xml:space="preserve">1. Register a customer and sign in.
2. Inspect the JSESSIONID session cookie.</t>
  </si>
  <si>
    <t xml:space="preserve">A JSESSIONID cookie is set and flagged HttpOnly, so it cannot be read by client-side scripts.</t>
  </si>
  <si>
    <t xml:space="preserve">TC-022</t>
  </si>
  <si>
    <t xml:space="preserve">Enumeration Defence</t>
  </si>
  <si>
    <t xml:space="preserve">Login errors do not reveal whether a username exists</t>
  </si>
  <si>
    <t xml:space="preserve">1. Sign in with a valid username and a wrong password.
2. Sign in with an unknown username and password.
3. Compare the two error messages.</t>
  </si>
  <si>
    <t xml:space="preserve">Valid username + wrong password; unknown username + password.</t>
  </si>
  <si>
    <t xml:space="preserve">Both attempts return the identical generic error message - the response does not disclose whether a username exists.</t>
  </si>
  <si>
    <t xml:space="preserve">TC-023</t>
  </si>
  <si>
    <t xml:space="preserve">Brute-force Resilience</t>
  </si>
  <si>
    <t xml:space="preserve">Repeated failed logins are consistently rejected</t>
  </si>
  <si>
    <t xml:space="preserve">1. Open /index.htm.
2. Submit 5 consecutive invalid login attempts.</t>
  </si>
  <si>
    <t xml:space="preserve">5 distinct invalid credential pairs.</t>
  </si>
  <si>
    <t xml:space="preserve">Every attempt is rejected; repetition does not bypass authentication.</t>
  </si>
  <si>
    <t xml:space="preserve">  Access Control Tests</t>
  </si>
  <si>
    <t xml:space="preserve">TC-024</t>
  </si>
  <si>
    <t xml:space="preserve">Access Control</t>
  </si>
  <si>
    <t xml:space="preserve">Session &amp; Access</t>
  </si>
  <si>
    <t xml:space="preserve">Unauthorised Access</t>
  </si>
  <si>
    <t xml:space="preserve">Accounts Overview is not accessible while logged out</t>
  </si>
  <si>
    <t xml:space="preserve">No customer is signed in.</t>
  </si>
  <si>
    <t xml:space="preserve">1. Ensure no customer is signed in.
2. Open /overview.htm directly.</t>
  </si>
  <si>
    <t xml:space="preserve">Direct URL: /overview.htm.</t>
  </si>
  <si>
    <t xml:space="preserve">Access is denied; the ParaBank error page is shown, no account data is exposed and the visitor is not signed in.</t>
  </si>
  <si>
    <t xml:space="preserve">TC-025</t>
  </si>
  <si>
    <t xml:space="preserve">Transfer Funds page is not accessible while logged out</t>
  </si>
  <si>
    <t xml:space="preserve">1. Ensure no customer is signed in.
2. Open /transfer.htm directly.</t>
  </si>
  <si>
    <t xml:space="preserve">Direct URL: /transfer.htm.</t>
  </si>
  <si>
    <t xml:space="preserve">Access is denied; the ParaBank error page is shown and no transfer functionality is exposed.</t>
  </si>
  <si>
    <t xml:space="preserve">TC-026</t>
  </si>
  <si>
    <t xml:space="preserve">Update Contact Info page is not accessible while logged out</t>
  </si>
  <si>
    <t xml:space="preserve">1. Ensure no customer is signed in.
2. Open /updateprofile.htm directly.</t>
  </si>
  <si>
    <t xml:space="preserve">Direct URL: /updateprofile.htm.</t>
  </si>
  <si>
    <t xml:space="preserve">Access is denied; the ParaBank error page is shown and no profile data is exposed.</t>
  </si>
  <si>
    <t xml:space="preserve">TC-027</t>
  </si>
  <si>
    <t xml:space="preserve">Session Invalidation</t>
  </si>
  <si>
    <t xml:space="preserve">Protected pages are not accessible after logging out</t>
  </si>
  <si>
    <t xml:space="preserve">1. Register a customer and sign in.
2. Log out.
3. Open /overview.htm directly.</t>
  </si>
  <si>
    <t xml:space="preserve">Direct URL after logout.</t>
  </si>
  <si>
    <t xml:space="preserve">Access is denied after logout - the previous session can no longer reach protected pages.</t>
  </si>
  <si>
    <t xml:space="preserve">TC-028</t>
  </si>
  <si>
    <t xml:space="preserve">Session Persistence</t>
  </si>
  <si>
    <t xml:space="preserve">An authenticated session persists across page navigation</t>
  </si>
  <si>
    <t xml:space="preserve">1. Register a customer and sign in.
2. Navigate across multiple authenticated pages.</t>
  </si>
  <si>
    <t xml:space="preserve">The customer remains signed in throughout the navigation - the session is stable.</t>
  </si>
  <si>
    <t xml:space="preserve">  Performance Tests</t>
  </si>
  <si>
    <t xml:space="preserve">TC-029</t>
  </si>
  <si>
    <t xml:space="preserve">Performance</t>
  </si>
  <si>
    <t xml:space="preserve">Page Load</t>
  </si>
  <si>
    <t xml:space="preserve">The home page loads within the performance budget</t>
  </si>
  <si>
    <t xml:space="preserve">1. Open the ParaBank home page and measure the load time.</t>
  </si>
  <si>
    <t xml:space="preserve">Budget: 15,000 ms.</t>
  </si>
  <si>
    <t xml:space="preserve">The measured load time is within budget; the value is logged to performance.log.</t>
  </si>
  <si>
    <t xml:space="preserve">TC-030</t>
  </si>
  <si>
    <t xml:space="preserve">The registration page loads within the performance budget</t>
  </si>
  <si>
    <t xml:space="preserve">1. Open the registration page and measure the load time.</t>
  </si>
  <si>
    <t xml:space="preserve">TC-031</t>
  </si>
  <si>
    <t xml:space="preserve">Response Time</t>
  </si>
  <si>
    <t xml:space="preserve">Account registration completes within the performance budget</t>
  </si>
  <si>
    <t xml:space="preserve">1. Submit the registration form and measure the response time.</t>
  </si>
  <si>
    <t xml:space="preserve">Budget: 30,000 ms (JPA insert).</t>
  </si>
  <si>
    <t xml:space="preserve">The registration response time is within budget; the value is logged to performance.log.</t>
  </si>
  <si>
    <t xml:space="preserve">TC-032</t>
  </si>
  <si>
    <t xml:space="preserve">Login completes within the performance budget</t>
  </si>
  <si>
    <t xml:space="preserve">1. Submit the login form and measure the response time until Accounts Overview is shown.</t>
  </si>
  <si>
    <t xml:space="preserve">Budget: 30,000 ms (JPA read + auth).</t>
  </si>
  <si>
    <t xml:space="preserve">The login response time is within budget; the value is logged to performance.log.</t>
  </si>
  <si>
    <t xml:space="preserve">TC-033</t>
  </si>
  <si>
    <t xml:space="preserve">The Accounts Overview page loads within the performance budget</t>
  </si>
  <si>
    <t xml:space="preserve">A registered customer is signed in.</t>
  </si>
  <si>
    <t xml:space="preserve">1. Reload the Accounts Overview page and measure the load time.</t>
  </si>
  <si>
    <t xml:space="preserve">Summary Report  -  ParaBank Automation Test Suite</t>
  </si>
  <si>
    <t xml:space="preserve">Coverage by Test Type</t>
  </si>
  <si>
    <t xml:space="preserve">Total</t>
  </si>
  <si>
    <t xml:space="preserve">Automated</t>
  </si>
  <si>
    <t xml:space="preserve">Manual</t>
  </si>
  <si>
    <t xml:space="preserve">Coverage</t>
  </si>
  <si>
    <t xml:space="preserve">100%</t>
  </si>
  <si>
    <t xml:space="preserve">TOTAL</t>
  </si>
  <si>
    <t xml:space="preserve">Coverage by Priority</t>
  </si>
  <si>
    <t xml:space="preserve">Count</t>
  </si>
  <si>
    <t xml:space="preserve">Share</t>
  </si>
  <si>
    <t xml:space="preserve">Suite Composition</t>
  </si>
  <si>
    <t xml:space="preserve">Metric</t>
  </si>
  <si>
    <t xml:space="preserve">Value</t>
  </si>
  <si>
    <t xml:space="preserve">Total test cases</t>
  </si>
  <si>
    <t xml:space="preserve">Automated test cases</t>
  </si>
  <si>
    <t xml:space="preserve">Smoke-tagged test cases</t>
  </si>
  <si>
    <t xml:space="preserve">End-to-end test cases</t>
  </si>
  <si>
    <t xml:space="preserve">Regression test cases</t>
  </si>
  <si>
    <t xml:space="preserve">BDD feature files</t>
  </si>
  <si>
    <t xml:space="preserve">6</t>
  </si>
  <si>
    <t xml:space="preserve">Page Object classes</t>
  </si>
  <si>
    <t xml:space="preserve">5</t>
  </si>
  <si>
    <t xml:space="preserve">Latest run date</t>
  </si>
  <si>
    <t xml:space="preserve">24-May-2026</t>
  </si>
  <si>
    <t xml:space="preserve">Latest run result</t>
  </si>
  <si>
    <t xml:space="preserve">PASS - 33 / 33 checks passed</t>
  </si>
  <si>
    <t xml:space="preserve">Automation Mapping  -  BDD Scenario &lt;-&gt; Test Case</t>
  </si>
  <si>
    <t xml:space="preserve">Every test case is automated. Each row maps a documented test case to its Gherkin scenario.</t>
  </si>
  <si>
    <t xml:space="preserve">Feature File</t>
  </si>
  <si>
    <t xml:space="preserve">BDD Scenario</t>
  </si>
  <si>
    <t xml:space="preserve">Gherkin Tags</t>
  </si>
  <si>
    <t xml:space="preserve">account-registration.feature</t>
  </si>
  <si>
    <t xml:space="preserve">@registration @smoke @positive</t>
  </si>
  <si>
    <t xml:space="preserve">Yes</t>
  </si>
  <si>
    <t xml:space="preserve">@registration @negative</t>
  </si>
  <si>
    <t xml:space="preserve">account-login.feature</t>
  </si>
  <si>
    <t xml:space="preserve">Sign in with a newly created account and view the balance</t>
  </si>
  <si>
    <t xml:space="preserve">@login @smoke @positive</t>
  </si>
  <si>
    <t xml:space="preserve">@login @negative</t>
  </si>
  <si>
    <t xml:space="preserve">@login @positive</t>
  </si>
  <si>
    <t xml:space="preserve">boundary.feature</t>
  </si>
  <si>
    <t xml:space="preserve">@boundary @negative</t>
  </si>
  <si>
    <t xml:space="preserve">Registration succeeds with boundary-value field data [minimum-length]</t>
  </si>
  <si>
    <t xml:space="preserve">@boundary @positive</t>
  </si>
  <si>
    <t xml:space="preserve">Registration succeeds with boundary-value field data [maximum-length]</t>
  </si>
  <si>
    <t xml:space="preserve">Registration succeeds with boundary-value field data [special-characters]</t>
  </si>
  <si>
    <t xml:space="preserve">Login is rejected when credentials are missing [empty username]</t>
  </si>
  <si>
    <t xml:space="preserve">Login is rejected when credentials are missing [empty password]</t>
  </si>
  <si>
    <t xml:space="preserve">Login is rejected when credentials are missing [empty username and password]</t>
  </si>
  <si>
    <t xml:space="preserve">security.feature</t>
  </si>
  <si>
    <t xml:space="preserve">Password entry fields mask the characters typed [registration / Password]</t>
  </si>
  <si>
    <t xml:space="preserve">@security @positive</t>
  </si>
  <si>
    <t xml:space="preserve">Password entry fields mask the characters typed [registration / Confirm Password]</t>
  </si>
  <si>
    <t xml:space="preserve">Password entry fields mask the characters typed [home / Login Password]</t>
  </si>
  <si>
    <t xml:space="preserve">@security @negative</t>
  </si>
  <si>
    <t xml:space="preserve">HTML injection in the first name field is neutralised</t>
  </si>
  <si>
    <t xml:space="preserve">@security @negative @fail</t>
  </si>
  <si>
    <t xml:space="preserve">access-control.feature</t>
  </si>
  <si>
    <t xml:space="preserve">Protected pages cannot be opened without signing in [Accounts Overview]</t>
  </si>
  <si>
    <t xml:space="preserve">@access @negative</t>
  </si>
  <si>
    <t xml:space="preserve">Protected pages cannot be opened without signing in [Transfer Funds]</t>
  </si>
  <si>
    <t xml:space="preserve">Protected pages cannot be opened without signing in [Update Contact Info]</t>
  </si>
  <si>
    <t xml:space="preserve">Protected pages cannot be opened after logging out</t>
  </si>
  <si>
    <t xml:space="preserve">@access @positive</t>
  </si>
  <si>
    <t xml:space="preserve">performance.feature</t>
  </si>
  <si>
    <t xml:space="preserve">@performance</t>
  </si>
  <si>
    <t xml:space="preserve">Execution Dashboard  -  ParaBank Automation Suite</t>
  </si>
  <si>
    <t xml:space="preserve">Suite Snapshot</t>
  </si>
  <si>
    <t xml:space="preserve">Total Test Cases</t>
  </si>
  <si>
    <t xml:space="preserve">Feature Files</t>
  </si>
  <si>
    <t xml:space="preserve">Test Types</t>
  </si>
  <si>
    <t xml:space="preserve">Smoke Tests</t>
  </si>
  <si>
    <t xml:space="preserve">E2E Tests</t>
  </si>
  <si>
    <t xml:space="preserve">Test Cases by Type</t>
  </si>
  <si>
    <t xml:space="preserve">% of Suite</t>
  </si>
  <si>
    <t xml:space="preserve">Latest Execution  -  24-May-2026</t>
  </si>
  <si>
    <t xml:space="preserve">Note</t>
  </si>
  <si>
    <t xml:space="preserve">Checks that passed cleanly in the automated run.</t>
  </si>
  <si>
    <t xml:space="preserve">TC-019 - confirmed XSS exposure; runs as an expected failure (@fail) so the suite stays green.</t>
  </si>
  <si>
    <t xml:space="preserve">Run result</t>
  </si>
  <si>
    <t xml:space="preserve">PASS  -  33 / 33 checks passed in 141 s.  The automated runner reports all 33 scenarios as passed.</t>
  </si>
  <si>
    <t xml:space="preserve">Documentation Guidelines &amp; Conventions</t>
  </si>
  <si>
    <t xml:space="preserve">Workbook Sheets</t>
  </si>
  <si>
    <t xml:space="preserve">Test Cases</t>
  </si>
  <si>
    <t xml:space="preserve">The full catalogue of 33 test cases, grouped by test type under blue section headers.</t>
  </si>
  <si>
    <t xml:space="preserve">Summary Report</t>
  </si>
  <si>
    <t xml:space="preserve">Coverage roll-ups by test type and priority. Counts auto-calculate from the Test Cases sheet.</t>
  </si>
  <si>
    <t xml:space="preserve">Automation Mapping</t>
  </si>
  <si>
    <t xml:space="preserve">Maps every test case to its BDD feature file, Gherkin scenario and tags.</t>
  </si>
  <si>
    <t xml:space="preserve">Dashboard</t>
  </si>
  <si>
    <t xml:space="preserve">KPI snapshot of the suite. All counts auto-calculate - no manual editing needed.</t>
  </si>
  <si>
    <t xml:space="preserve">Guidelines</t>
  </si>
  <si>
    <t xml:space="preserve">This sheet - conventions used throughout the workbook.</t>
  </si>
  <si>
    <t xml:space="preserve">Column Conventions</t>
  </si>
  <si>
    <t xml:space="preserve">Smoke / Reg. / E2E</t>
  </si>
  <si>
    <t xml:space="preserve">Y = the test case belongs to that suite; - = it does not.</t>
  </si>
  <si>
    <t xml:space="preserve">Y = the test case is automated. Every case in this suite is automated.</t>
  </si>
  <si>
    <t xml:space="preserve">Functional, Boundary, Security, Access Control or Performance.</t>
  </si>
  <si>
    <t xml:space="preserve">P1 - High (critical path), P2 - Medium, P3 - Low (edge / non-blocking).</t>
  </si>
  <si>
    <t xml:space="preserve">Pass, Fail, Not Run, Observation or Blocked. New suites start as 'Not Run'.</t>
  </si>
  <si>
    <t xml:space="preserve">Notes for Fail / Observation cases, or any other relevant context.</t>
  </si>
  <si>
    <t xml:space="preserve">Status Colours</t>
  </si>
  <si>
    <t xml:space="preserve">Green</t>
  </si>
  <si>
    <t xml:space="preserve">Red</t>
  </si>
  <si>
    <t xml:space="preserve">Fail</t>
  </si>
  <si>
    <t xml:space="preserve">Yellow</t>
  </si>
  <si>
    <t xml:space="preserve">Not Run</t>
  </si>
  <si>
    <t xml:space="preserve">Blue</t>
  </si>
  <si>
    <t xml:space="preserve">Purple</t>
  </si>
  <si>
    <t xml:space="preserve">Blocked</t>
  </si>
  <si>
    <t xml:space="preserve">Test Type Definitions</t>
  </si>
  <si>
    <t xml:space="preserve">Verifies the core sign-up and login behaviour works as intended.</t>
  </si>
  <si>
    <t xml:space="preserve">Boundary-value analysis and input validation - min/max length, special characters, missing fields.</t>
  </si>
  <si>
    <t xml:space="preserve">Input masking, SQL/HTML injection resistance, HTTPS, session-cookie hardening, enumeration and brute-force resilience.</t>
  </si>
  <si>
    <t xml:space="preserve">Session management - protected pages must require an authenticated session.</t>
  </si>
  <si>
    <t xml:space="preserve">Page-load and action response times measured against soft budgets (the demo uses a slow JPA backend).</t>
  </si>
  <si>
    <t xml:space="preserve">Running the Suite</t>
  </si>
  <si>
    <t xml:space="preserve">Command</t>
  </si>
  <si>
    <t xml:space="preserve">npm test  - generates the BDD specs and runs all 33 scenarios.</t>
  </si>
  <si>
    <t xml:space="preserve">Report</t>
  </si>
  <si>
    <t xml:space="preserve">npm run report  - opens the Playwright HTML report with screenshots.</t>
  </si>
  <si>
    <t xml:space="preserve">Tagged runs</t>
  </si>
  <si>
    <t xml:space="preserve">npm run test:smoke / test:registration / test:login, or 'playwright test --grep @security'.</t>
  </si>
  <si>
    <t xml:space="preserve">Known Defects</t>
  </si>
  <si>
    <t xml:space="preserve">TC-019 (XSS)</t>
  </si>
  <si>
    <t xml:space="preserve">ParaBank renders the registration first name unescaped - a stored XSS / HTML-injection exposure. The scenario asserts the secure behaviour and is tagged @fail (expected failure) so the suite stays green while flagging the defect.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</si>
</sst>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8"/>
      <color rgb="FF1E7B34"/>
      <name val="Arial"/>
      <family val="0"/>
      <charset val="1"/>
    </font>
    <font>
      <b val="true"/>
      <sz val="8"/>
      <color rgb="FF2F549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7030A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1E7B3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9"/>
      <color rgb="FF1E7B3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305496"/>
      </patternFill>
    </fill>
    <fill>
      <patternFill patternType="solid">
        <fgColor rgb="FF305496"/>
        <bgColor rgb="FF2F5496"/>
      </patternFill>
    </fill>
    <fill>
      <patternFill patternType="solid">
        <fgColor rgb="FF8497B0"/>
        <bgColor rgb="FF808080"/>
      </patternFill>
    </fill>
    <fill>
      <patternFill patternType="solid">
        <fgColor rgb="FFDDEBF7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F4F6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E2F3"/>
      </patternFill>
    </fill>
    <fill>
      <patternFill patternType="solid">
        <fgColor rgb="FFE2EFDA"/>
        <bgColor rgb="FFDDEBF7"/>
      </patternFill>
    </fill>
    <fill>
      <patternFill patternType="solid">
        <fgColor rgb="FFEAD1DC"/>
        <bgColor rgb="FFE1D5E7"/>
      </patternFill>
    </fill>
    <fill>
      <patternFill patternType="solid">
        <fgColor rgb="FFD9E2F3"/>
        <bgColor rgb="FFDDEBF7"/>
      </patternFill>
    </fill>
    <fill>
      <patternFill patternType="solid">
        <fgColor rgb="FFFFC7CE"/>
        <bgColor rgb="FFEAD1DC"/>
      </patternFill>
    </fill>
    <fill>
      <patternFill patternType="solid">
        <fgColor rgb="FFFFEB9C"/>
        <bgColor rgb="FFFFF2CC"/>
      </patternFill>
    </fill>
    <fill>
      <patternFill patternType="solid">
        <fgColor rgb="FFE1D5E7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6FB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2F3"/>
      <rgbColor rgb="FFEAD1DC"/>
      <rgbColor rgb="FFE1D5E7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8497B0"/>
      <rgbColor rgb="FF1F3864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7"/>
    <col collapsed="false" customWidth="true" hidden="false" outlineLevel="0" max="5" min="4" style="0" width="6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40"/>
    <col collapsed="false" customWidth="true" hidden="false" outlineLevel="0" max="12" min="12" style="0" width="24"/>
    <col collapsed="false" customWidth="true" hidden="false" outlineLevel="0" max="13" min="13" style="0" width="40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3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9.5" hidden="false" customHeight="true" outlineLevel="0" collapsed="false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03.5" hidden="false" customHeight="true" outlineLevel="0" collapsed="false">
      <c r="A5" s="5" t="s">
        <v>19</v>
      </c>
      <c r="B5" s="6" t="s">
        <v>20</v>
      </c>
      <c r="C5" s="6" t="s">
        <v>20</v>
      </c>
      <c r="D5" s="6" t="s">
        <v>21</v>
      </c>
      <c r="E5" s="6" t="s">
        <v>20</v>
      </c>
      <c r="F5" s="7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  <c r="N5" s="6" t="s">
        <v>30</v>
      </c>
      <c r="O5" s="9" t="s">
        <v>31</v>
      </c>
      <c r="P5" s="8"/>
    </row>
    <row r="6" customFormat="false" ht="103.5" hidden="false" customHeight="true" outlineLevel="0" collapsed="false">
      <c r="A6" s="10" t="s">
        <v>32</v>
      </c>
      <c r="B6" s="11" t="s">
        <v>21</v>
      </c>
      <c r="C6" s="11" t="s">
        <v>20</v>
      </c>
      <c r="D6" s="11" t="s">
        <v>21</v>
      </c>
      <c r="E6" s="11" t="s">
        <v>20</v>
      </c>
      <c r="F6" s="7" t="s">
        <v>22</v>
      </c>
      <c r="G6" s="12" t="s">
        <v>23</v>
      </c>
      <c r="H6" s="12" t="s">
        <v>33</v>
      </c>
      <c r="I6" s="12" t="s">
        <v>34</v>
      </c>
      <c r="J6" s="12" t="s">
        <v>35</v>
      </c>
      <c r="K6" s="12" t="s">
        <v>36</v>
      </c>
      <c r="L6" s="12" t="s">
        <v>37</v>
      </c>
      <c r="M6" s="12" t="s">
        <v>38</v>
      </c>
      <c r="N6" s="11" t="s">
        <v>39</v>
      </c>
      <c r="O6" s="9" t="s">
        <v>31</v>
      </c>
      <c r="P6" s="12"/>
    </row>
    <row r="7" customFormat="false" ht="103.5" hidden="false" customHeight="true" outlineLevel="0" collapsed="false">
      <c r="A7" s="5" t="s">
        <v>40</v>
      </c>
      <c r="B7" s="6" t="s">
        <v>21</v>
      </c>
      <c r="C7" s="6" t="s">
        <v>20</v>
      </c>
      <c r="D7" s="6" t="s">
        <v>21</v>
      </c>
      <c r="E7" s="6" t="s">
        <v>20</v>
      </c>
      <c r="F7" s="7" t="s">
        <v>22</v>
      </c>
      <c r="G7" s="8" t="s">
        <v>23</v>
      </c>
      <c r="H7" s="8" t="s">
        <v>41</v>
      </c>
      <c r="I7" s="8" t="s">
        <v>42</v>
      </c>
      <c r="J7" s="8" t="s">
        <v>43</v>
      </c>
      <c r="K7" s="8" t="s">
        <v>44</v>
      </c>
      <c r="L7" s="8" t="s">
        <v>45</v>
      </c>
      <c r="M7" s="8" t="s">
        <v>46</v>
      </c>
      <c r="N7" s="6" t="s">
        <v>39</v>
      </c>
      <c r="O7" s="9" t="s">
        <v>31</v>
      </c>
      <c r="P7" s="8"/>
    </row>
    <row r="8" customFormat="false" ht="103.5" hidden="false" customHeight="true" outlineLevel="0" collapsed="false">
      <c r="A8" s="10" t="s">
        <v>47</v>
      </c>
      <c r="B8" s="11" t="s">
        <v>20</v>
      </c>
      <c r="C8" s="11" t="s">
        <v>20</v>
      </c>
      <c r="D8" s="11" t="s">
        <v>20</v>
      </c>
      <c r="E8" s="11" t="s">
        <v>20</v>
      </c>
      <c r="F8" s="7" t="s">
        <v>22</v>
      </c>
      <c r="G8" s="12" t="s">
        <v>48</v>
      </c>
      <c r="H8" s="12" t="s">
        <v>49</v>
      </c>
      <c r="I8" s="12" t="s">
        <v>50</v>
      </c>
      <c r="J8" s="12" t="s">
        <v>51</v>
      </c>
      <c r="K8" s="12" t="s">
        <v>52</v>
      </c>
      <c r="L8" s="12" t="s">
        <v>53</v>
      </c>
      <c r="M8" s="12" t="s">
        <v>54</v>
      </c>
      <c r="N8" s="11" t="s">
        <v>30</v>
      </c>
      <c r="O8" s="9" t="s">
        <v>31</v>
      </c>
      <c r="P8" s="12"/>
    </row>
    <row r="9" customFormat="false" ht="103.5" hidden="false" customHeight="true" outlineLevel="0" collapsed="false">
      <c r="A9" s="5" t="s">
        <v>55</v>
      </c>
      <c r="B9" s="6" t="s">
        <v>21</v>
      </c>
      <c r="C9" s="6" t="s">
        <v>20</v>
      </c>
      <c r="D9" s="6" t="s">
        <v>21</v>
      </c>
      <c r="E9" s="6" t="s">
        <v>20</v>
      </c>
      <c r="F9" s="7" t="s">
        <v>22</v>
      </c>
      <c r="G9" s="8" t="s">
        <v>48</v>
      </c>
      <c r="H9" s="8" t="s">
        <v>49</v>
      </c>
      <c r="I9" s="8" t="s">
        <v>56</v>
      </c>
      <c r="J9" s="8" t="s">
        <v>57</v>
      </c>
      <c r="K9" s="8" t="s">
        <v>58</v>
      </c>
      <c r="L9" s="8" t="s">
        <v>59</v>
      </c>
      <c r="M9" s="8" t="s">
        <v>60</v>
      </c>
      <c r="N9" s="6" t="s">
        <v>39</v>
      </c>
      <c r="O9" s="9" t="s">
        <v>31</v>
      </c>
      <c r="P9" s="8"/>
    </row>
    <row r="10" customFormat="false" ht="103.5" hidden="false" customHeight="true" outlineLevel="0" collapsed="false">
      <c r="A10" s="10" t="s">
        <v>61</v>
      </c>
      <c r="B10" s="11" t="s">
        <v>21</v>
      </c>
      <c r="C10" s="11" t="s">
        <v>20</v>
      </c>
      <c r="D10" s="11" t="s">
        <v>20</v>
      </c>
      <c r="E10" s="11" t="s">
        <v>20</v>
      </c>
      <c r="F10" s="7" t="s">
        <v>22</v>
      </c>
      <c r="G10" s="12" t="s">
        <v>48</v>
      </c>
      <c r="H10" s="12" t="s">
        <v>62</v>
      </c>
      <c r="I10" s="12" t="s">
        <v>63</v>
      </c>
      <c r="J10" s="12" t="s">
        <v>64</v>
      </c>
      <c r="K10" s="12" t="s">
        <v>65</v>
      </c>
      <c r="L10" s="12" t="s">
        <v>66</v>
      </c>
      <c r="M10" s="12" t="s">
        <v>67</v>
      </c>
      <c r="N10" s="11" t="s">
        <v>39</v>
      </c>
      <c r="O10" s="9" t="s">
        <v>31</v>
      </c>
      <c r="P10" s="12"/>
    </row>
    <row r="11" customFormat="false" ht="19.5" hidden="false" customHeight="true" outlineLevel="0" collapsed="false">
      <c r="A11" s="4" t="s">
        <v>68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03.5" hidden="false" customHeight="true" outlineLevel="0" collapsed="false">
      <c r="A12" s="5" t="s">
        <v>69</v>
      </c>
      <c r="B12" s="6" t="s">
        <v>21</v>
      </c>
      <c r="C12" s="6" t="s">
        <v>20</v>
      </c>
      <c r="D12" s="6" t="s">
        <v>21</v>
      </c>
      <c r="E12" s="6" t="s">
        <v>20</v>
      </c>
      <c r="F12" s="13" t="s">
        <v>70</v>
      </c>
      <c r="G12" s="8" t="s">
        <v>23</v>
      </c>
      <c r="H12" s="8" t="s">
        <v>71</v>
      </c>
      <c r="I12" s="8" t="s">
        <v>72</v>
      </c>
      <c r="J12" s="8" t="s">
        <v>73</v>
      </c>
      <c r="K12" s="8" t="s">
        <v>74</v>
      </c>
      <c r="L12" s="8" t="s">
        <v>75</v>
      </c>
      <c r="M12" s="8" t="s">
        <v>76</v>
      </c>
      <c r="N12" s="6" t="s">
        <v>39</v>
      </c>
      <c r="O12" s="9" t="s">
        <v>31</v>
      </c>
      <c r="P12" s="8"/>
    </row>
    <row r="13" customFormat="false" ht="103.5" hidden="false" customHeight="true" outlineLevel="0" collapsed="false">
      <c r="A13" s="10" t="s">
        <v>77</v>
      </c>
      <c r="B13" s="11" t="s">
        <v>21</v>
      </c>
      <c r="C13" s="11" t="s">
        <v>20</v>
      </c>
      <c r="D13" s="11" t="s">
        <v>21</v>
      </c>
      <c r="E13" s="11" t="s">
        <v>20</v>
      </c>
      <c r="F13" s="13" t="s">
        <v>70</v>
      </c>
      <c r="G13" s="12" t="s">
        <v>23</v>
      </c>
      <c r="H13" s="12" t="s">
        <v>78</v>
      </c>
      <c r="I13" s="12" t="s">
        <v>79</v>
      </c>
      <c r="J13" s="12" t="s">
        <v>73</v>
      </c>
      <c r="K13" s="12" t="s">
        <v>80</v>
      </c>
      <c r="L13" s="12" t="s">
        <v>81</v>
      </c>
      <c r="M13" s="12" t="s">
        <v>82</v>
      </c>
      <c r="N13" s="11" t="s">
        <v>39</v>
      </c>
      <c r="O13" s="9" t="s">
        <v>31</v>
      </c>
      <c r="P13" s="12"/>
    </row>
    <row r="14" customFormat="false" ht="103.5" hidden="false" customHeight="true" outlineLevel="0" collapsed="false">
      <c r="A14" s="5" t="s">
        <v>83</v>
      </c>
      <c r="B14" s="6" t="s">
        <v>21</v>
      </c>
      <c r="C14" s="6" t="s">
        <v>20</v>
      </c>
      <c r="D14" s="6" t="s">
        <v>21</v>
      </c>
      <c r="E14" s="6" t="s">
        <v>20</v>
      </c>
      <c r="F14" s="13" t="s">
        <v>70</v>
      </c>
      <c r="G14" s="8" t="s">
        <v>23</v>
      </c>
      <c r="H14" s="8" t="s">
        <v>84</v>
      </c>
      <c r="I14" s="8" t="s">
        <v>85</v>
      </c>
      <c r="J14" s="8" t="s">
        <v>73</v>
      </c>
      <c r="K14" s="8" t="s">
        <v>86</v>
      </c>
      <c r="L14" s="8" t="s">
        <v>87</v>
      </c>
      <c r="M14" s="8" t="s">
        <v>88</v>
      </c>
      <c r="N14" s="6" t="s">
        <v>89</v>
      </c>
      <c r="O14" s="9" t="s">
        <v>31</v>
      </c>
      <c r="P14" s="8"/>
    </row>
    <row r="15" customFormat="false" ht="103.5" hidden="false" customHeight="true" outlineLevel="0" collapsed="false">
      <c r="A15" s="10" t="s">
        <v>90</v>
      </c>
      <c r="B15" s="11" t="s">
        <v>21</v>
      </c>
      <c r="C15" s="11" t="s">
        <v>20</v>
      </c>
      <c r="D15" s="11" t="s">
        <v>21</v>
      </c>
      <c r="E15" s="11" t="s">
        <v>20</v>
      </c>
      <c r="F15" s="13" t="s">
        <v>70</v>
      </c>
      <c r="G15" s="12" t="s">
        <v>23</v>
      </c>
      <c r="H15" s="12" t="s">
        <v>84</v>
      </c>
      <c r="I15" s="12" t="s">
        <v>91</v>
      </c>
      <c r="J15" s="12" t="s">
        <v>73</v>
      </c>
      <c r="K15" s="12" t="s">
        <v>92</v>
      </c>
      <c r="L15" s="12" t="s">
        <v>93</v>
      </c>
      <c r="M15" s="12" t="s">
        <v>94</v>
      </c>
      <c r="N15" s="11" t="s">
        <v>89</v>
      </c>
      <c r="O15" s="9" t="s">
        <v>31</v>
      </c>
      <c r="P15" s="12"/>
    </row>
    <row r="16" customFormat="false" ht="103.5" hidden="false" customHeight="true" outlineLevel="0" collapsed="false">
      <c r="A16" s="5" t="s">
        <v>95</v>
      </c>
      <c r="B16" s="6" t="s">
        <v>21</v>
      </c>
      <c r="C16" s="6" t="s">
        <v>20</v>
      </c>
      <c r="D16" s="6" t="s">
        <v>21</v>
      </c>
      <c r="E16" s="6" t="s">
        <v>20</v>
      </c>
      <c r="F16" s="13" t="s">
        <v>70</v>
      </c>
      <c r="G16" s="8" t="s">
        <v>23</v>
      </c>
      <c r="H16" s="8" t="s">
        <v>84</v>
      </c>
      <c r="I16" s="8" t="s">
        <v>96</v>
      </c>
      <c r="J16" s="8" t="s">
        <v>73</v>
      </c>
      <c r="K16" s="8" t="s">
        <v>97</v>
      </c>
      <c r="L16" s="8" t="s">
        <v>98</v>
      </c>
      <c r="M16" s="8" t="s">
        <v>99</v>
      </c>
      <c r="N16" s="6" t="s">
        <v>89</v>
      </c>
      <c r="O16" s="9" t="s">
        <v>31</v>
      </c>
      <c r="P16" s="8"/>
    </row>
    <row r="17" customFormat="false" ht="103.5" hidden="false" customHeight="true" outlineLevel="0" collapsed="false">
      <c r="A17" s="10" t="s">
        <v>100</v>
      </c>
      <c r="B17" s="11" t="s">
        <v>21</v>
      </c>
      <c r="C17" s="11" t="s">
        <v>20</v>
      </c>
      <c r="D17" s="11" t="s">
        <v>21</v>
      </c>
      <c r="E17" s="11" t="s">
        <v>20</v>
      </c>
      <c r="F17" s="13" t="s">
        <v>70</v>
      </c>
      <c r="G17" s="12" t="s">
        <v>48</v>
      </c>
      <c r="H17" s="12" t="s">
        <v>101</v>
      </c>
      <c r="I17" s="12" t="s">
        <v>102</v>
      </c>
      <c r="J17" s="12" t="s">
        <v>57</v>
      </c>
      <c r="K17" s="12" t="s">
        <v>103</v>
      </c>
      <c r="L17" s="12" t="s">
        <v>104</v>
      </c>
      <c r="M17" s="12" t="s">
        <v>105</v>
      </c>
      <c r="N17" s="11" t="s">
        <v>39</v>
      </c>
      <c r="O17" s="9" t="s">
        <v>31</v>
      </c>
      <c r="P17" s="12"/>
    </row>
    <row r="18" customFormat="false" ht="103.5" hidden="false" customHeight="true" outlineLevel="0" collapsed="false">
      <c r="A18" s="5" t="s">
        <v>106</v>
      </c>
      <c r="B18" s="6" t="s">
        <v>21</v>
      </c>
      <c r="C18" s="6" t="s">
        <v>20</v>
      </c>
      <c r="D18" s="6" t="s">
        <v>21</v>
      </c>
      <c r="E18" s="6" t="s">
        <v>20</v>
      </c>
      <c r="F18" s="13" t="s">
        <v>70</v>
      </c>
      <c r="G18" s="8" t="s">
        <v>48</v>
      </c>
      <c r="H18" s="8" t="s">
        <v>101</v>
      </c>
      <c r="I18" s="8" t="s">
        <v>107</v>
      </c>
      <c r="J18" s="8" t="s">
        <v>57</v>
      </c>
      <c r="K18" s="8" t="s">
        <v>108</v>
      </c>
      <c r="L18" s="8" t="s">
        <v>109</v>
      </c>
      <c r="M18" s="8" t="s">
        <v>105</v>
      </c>
      <c r="N18" s="6" t="s">
        <v>39</v>
      </c>
      <c r="O18" s="9" t="s">
        <v>31</v>
      </c>
      <c r="P18" s="8"/>
    </row>
    <row r="19" customFormat="false" ht="103.5" hidden="false" customHeight="true" outlineLevel="0" collapsed="false">
      <c r="A19" s="10" t="s">
        <v>110</v>
      </c>
      <c r="B19" s="11" t="s">
        <v>21</v>
      </c>
      <c r="C19" s="11" t="s">
        <v>20</v>
      </c>
      <c r="D19" s="11" t="s">
        <v>21</v>
      </c>
      <c r="E19" s="11" t="s">
        <v>20</v>
      </c>
      <c r="F19" s="13" t="s">
        <v>70</v>
      </c>
      <c r="G19" s="12" t="s">
        <v>48</v>
      </c>
      <c r="H19" s="12" t="s">
        <v>101</v>
      </c>
      <c r="I19" s="12" t="s">
        <v>111</v>
      </c>
      <c r="J19" s="12" t="s">
        <v>57</v>
      </c>
      <c r="K19" s="12" t="s">
        <v>112</v>
      </c>
      <c r="L19" s="12" t="s">
        <v>113</v>
      </c>
      <c r="M19" s="12" t="s">
        <v>114</v>
      </c>
      <c r="N19" s="11" t="s">
        <v>39</v>
      </c>
      <c r="O19" s="9" t="s">
        <v>31</v>
      </c>
      <c r="P19" s="12"/>
    </row>
    <row r="20" customFormat="false" ht="19.5" hidden="false" customHeight="true" outlineLevel="0" collapsed="false">
      <c r="A20" s="4" t="s">
        <v>115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customFormat="false" ht="103.5" hidden="false" customHeight="true" outlineLevel="0" collapsed="false">
      <c r="A21" s="5" t="s">
        <v>116</v>
      </c>
      <c r="B21" s="6" t="s">
        <v>21</v>
      </c>
      <c r="C21" s="6" t="s">
        <v>20</v>
      </c>
      <c r="D21" s="6" t="s">
        <v>21</v>
      </c>
      <c r="E21" s="6" t="s">
        <v>20</v>
      </c>
      <c r="F21" s="14" t="s">
        <v>117</v>
      </c>
      <c r="G21" s="8" t="s">
        <v>23</v>
      </c>
      <c r="H21" s="8" t="s">
        <v>118</v>
      </c>
      <c r="I21" s="8" t="s">
        <v>119</v>
      </c>
      <c r="J21" s="8" t="s">
        <v>73</v>
      </c>
      <c r="K21" s="8" t="s">
        <v>120</v>
      </c>
      <c r="L21" s="8" t="s">
        <v>121</v>
      </c>
      <c r="M21" s="8" t="s">
        <v>122</v>
      </c>
      <c r="N21" s="6" t="s">
        <v>39</v>
      </c>
      <c r="O21" s="9" t="s">
        <v>31</v>
      </c>
      <c r="P21" s="8"/>
    </row>
    <row r="22" customFormat="false" ht="103.5" hidden="false" customHeight="true" outlineLevel="0" collapsed="false">
      <c r="A22" s="10" t="s">
        <v>123</v>
      </c>
      <c r="B22" s="11" t="s">
        <v>21</v>
      </c>
      <c r="C22" s="11" t="s">
        <v>20</v>
      </c>
      <c r="D22" s="11" t="s">
        <v>21</v>
      </c>
      <c r="E22" s="11" t="s">
        <v>20</v>
      </c>
      <c r="F22" s="14" t="s">
        <v>117</v>
      </c>
      <c r="G22" s="12" t="s">
        <v>23</v>
      </c>
      <c r="H22" s="12" t="s">
        <v>118</v>
      </c>
      <c r="I22" s="12" t="s">
        <v>124</v>
      </c>
      <c r="J22" s="12" t="s">
        <v>73</v>
      </c>
      <c r="K22" s="12" t="s">
        <v>125</v>
      </c>
      <c r="L22" s="12" t="s">
        <v>121</v>
      </c>
      <c r="M22" s="12" t="s">
        <v>126</v>
      </c>
      <c r="N22" s="11" t="s">
        <v>39</v>
      </c>
      <c r="O22" s="9" t="s">
        <v>31</v>
      </c>
      <c r="P22" s="12"/>
    </row>
    <row r="23" customFormat="false" ht="103.5" hidden="false" customHeight="true" outlineLevel="0" collapsed="false">
      <c r="A23" s="5" t="s">
        <v>127</v>
      </c>
      <c r="B23" s="6" t="s">
        <v>21</v>
      </c>
      <c r="C23" s="6" t="s">
        <v>20</v>
      </c>
      <c r="D23" s="6" t="s">
        <v>21</v>
      </c>
      <c r="E23" s="6" t="s">
        <v>20</v>
      </c>
      <c r="F23" s="14" t="s">
        <v>117</v>
      </c>
      <c r="G23" s="8" t="s">
        <v>48</v>
      </c>
      <c r="H23" s="8" t="s">
        <v>118</v>
      </c>
      <c r="I23" s="8" t="s">
        <v>128</v>
      </c>
      <c r="J23" s="8" t="s">
        <v>129</v>
      </c>
      <c r="K23" s="8" t="s">
        <v>130</v>
      </c>
      <c r="L23" s="8" t="s">
        <v>121</v>
      </c>
      <c r="M23" s="8" t="s">
        <v>131</v>
      </c>
      <c r="N23" s="6" t="s">
        <v>39</v>
      </c>
      <c r="O23" s="9" t="s">
        <v>31</v>
      </c>
      <c r="P23" s="8"/>
    </row>
    <row r="24" customFormat="false" ht="103.5" hidden="false" customHeight="true" outlineLevel="0" collapsed="false">
      <c r="A24" s="10" t="s">
        <v>132</v>
      </c>
      <c r="B24" s="11" t="s">
        <v>20</v>
      </c>
      <c r="C24" s="11" t="s">
        <v>20</v>
      </c>
      <c r="D24" s="11" t="s">
        <v>21</v>
      </c>
      <c r="E24" s="11" t="s">
        <v>20</v>
      </c>
      <c r="F24" s="14" t="s">
        <v>117</v>
      </c>
      <c r="G24" s="12" t="s">
        <v>48</v>
      </c>
      <c r="H24" s="12" t="s">
        <v>133</v>
      </c>
      <c r="I24" s="12" t="s">
        <v>134</v>
      </c>
      <c r="J24" s="12" t="s">
        <v>57</v>
      </c>
      <c r="K24" s="12" t="s">
        <v>135</v>
      </c>
      <c r="L24" s="12" t="s">
        <v>136</v>
      </c>
      <c r="M24" s="12" t="s">
        <v>137</v>
      </c>
      <c r="N24" s="11" t="s">
        <v>30</v>
      </c>
      <c r="O24" s="9" t="s">
        <v>31</v>
      </c>
      <c r="P24" s="12"/>
    </row>
    <row r="25" customFormat="false" ht="103.5" hidden="false" customHeight="true" outlineLevel="0" collapsed="false">
      <c r="A25" s="5" t="s">
        <v>138</v>
      </c>
      <c r="B25" s="6" t="s">
        <v>21</v>
      </c>
      <c r="C25" s="6" t="s">
        <v>20</v>
      </c>
      <c r="D25" s="6" t="s">
        <v>21</v>
      </c>
      <c r="E25" s="6" t="s">
        <v>20</v>
      </c>
      <c r="F25" s="14" t="s">
        <v>117</v>
      </c>
      <c r="G25" s="8" t="s">
        <v>23</v>
      </c>
      <c r="H25" s="8" t="s">
        <v>133</v>
      </c>
      <c r="I25" s="8" t="s">
        <v>139</v>
      </c>
      <c r="J25" s="8" t="s">
        <v>73</v>
      </c>
      <c r="K25" s="8" t="s">
        <v>140</v>
      </c>
      <c r="L25" s="8" t="s">
        <v>141</v>
      </c>
      <c r="M25" s="8" t="s">
        <v>142</v>
      </c>
      <c r="N25" s="6" t="s">
        <v>30</v>
      </c>
      <c r="O25" s="15" t="s">
        <v>143</v>
      </c>
      <c r="P25" s="8" t="s">
        <v>144</v>
      </c>
    </row>
    <row r="26" customFormat="false" ht="103.5" hidden="false" customHeight="true" outlineLevel="0" collapsed="false">
      <c r="A26" s="10" t="s">
        <v>145</v>
      </c>
      <c r="B26" s="11" t="s">
        <v>20</v>
      </c>
      <c r="C26" s="11" t="s">
        <v>20</v>
      </c>
      <c r="D26" s="11" t="s">
        <v>21</v>
      </c>
      <c r="E26" s="11" t="s">
        <v>20</v>
      </c>
      <c r="F26" s="14" t="s">
        <v>117</v>
      </c>
      <c r="G26" s="12" t="s">
        <v>146</v>
      </c>
      <c r="H26" s="12" t="s">
        <v>147</v>
      </c>
      <c r="I26" s="12" t="s">
        <v>148</v>
      </c>
      <c r="J26" s="12" t="s">
        <v>35</v>
      </c>
      <c r="K26" s="12" t="s">
        <v>149</v>
      </c>
      <c r="L26" s="12" t="s">
        <v>150</v>
      </c>
      <c r="M26" s="12" t="s">
        <v>151</v>
      </c>
      <c r="N26" s="11" t="s">
        <v>39</v>
      </c>
      <c r="O26" s="9" t="s">
        <v>31</v>
      </c>
      <c r="P26" s="12"/>
    </row>
    <row r="27" customFormat="false" ht="103.5" hidden="false" customHeight="true" outlineLevel="0" collapsed="false">
      <c r="A27" s="5" t="s">
        <v>152</v>
      </c>
      <c r="B27" s="6" t="s">
        <v>21</v>
      </c>
      <c r="C27" s="6" t="s">
        <v>20</v>
      </c>
      <c r="D27" s="6" t="s">
        <v>20</v>
      </c>
      <c r="E27" s="6" t="s">
        <v>20</v>
      </c>
      <c r="F27" s="14" t="s">
        <v>117</v>
      </c>
      <c r="G27" s="8" t="s">
        <v>48</v>
      </c>
      <c r="H27" s="8" t="s">
        <v>153</v>
      </c>
      <c r="I27" s="8" t="s">
        <v>154</v>
      </c>
      <c r="J27" s="8" t="s">
        <v>64</v>
      </c>
      <c r="K27" s="8" t="s">
        <v>155</v>
      </c>
      <c r="L27" s="8" t="s">
        <v>66</v>
      </c>
      <c r="M27" s="8" t="s">
        <v>156</v>
      </c>
      <c r="N27" s="6" t="s">
        <v>30</v>
      </c>
      <c r="O27" s="9" t="s">
        <v>31</v>
      </c>
      <c r="P27" s="8"/>
    </row>
    <row r="28" customFormat="false" ht="103.5" hidden="false" customHeight="true" outlineLevel="0" collapsed="false">
      <c r="A28" s="10" t="s">
        <v>157</v>
      </c>
      <c r="B28" s="11" t="s">
        <v>21</v>
      </c>
      <c r="C28" s="11" t="s">
        <v>20</v>
      </c>
      <c r="D28" s="11" t="s">
        <v>20</v>
      </c>
      <c r="E28" s="11" t="s">
        <v>20</v>
      </c>
      <c r="F28" s="14" t="s">
        <v>117</v>
      </c>
      <c r="G28" s="12" t="s">
        <v>48</v>
      </c>
      <c r="H28" s="12" t="s">
        <v>158</v>
      </c>
      <c r="I28" s="12" t="s">
        <v>159</v>
      </c>
      <c r="J28" s="12" t="s">
        <v>64</v>
      </c>
      <c r="K28" s="12" t="s">
        <v>160</v>
      </c>
      <c r="L28" s="12" t="s">
        <v>161</v>
      </c>
      <c r="M28" s="12" t="s">
        <v>162</v>
      </c>
      <c r="N28" s="11" t="s">
        <v>39</v>
      </c>
      <c r="O28" s="9" t="s">
        <v>31</v>
      </c>
      <c r="P28" s="12"/>
    </row>
    <row r="29" customFormat="false" ht="103.5" hidden="false" customHeight="true" outlineLevel="0" collapsed="false">
      <c r="A29" s="5" t="s">
        <v>163</v>
      </c>
      <c r="B29" s="6" t="s">
        <v>21</v>
      </c>
      <c r="C29" s="6" t="s">
        <v>20</v>
      </c>
      <c r="D29" s="6" t="s">
        <v>21</v>
      </c>
      <c r="E29" s="6" t="s">
        <v>20</v>
      </c>
      <c r="F29" s="14" t="s">
        <v>117</v>
      </c>
      <c r="G29" s="8" t="s">
        <v>48</v>
      </c>
      <c r="H29" s="8" t="s">
        <v>164</v>
      </c>
      <c r="I29" s="8" t="s">
        <v>165</v>
      </c>
      <c r="J29" s="8" t="s">
        <v>57</v>
      </c>
      <c r="K29" s="8" t="s">
        <v>166</v>
      </c>
      <c r="L29" s="8" t="s">
        <v>167</v>
      </c>
      <c r="M29" s="8" t="s">
        <v>168</v>
      </c>
      <c r="N29" s="6" t="s">
        <v>39</v>
      </c>
      <c r="O29" s="9" t="s">
        <v>31</v>
      </c>
      <c r="P29" s="8"/>
    </row>
    <row r="30" customFormat="false" ht="19.5" hidden="false" customHeight="true" outlineLevel="0" collapsed="false">
      <c r="A30" s="4" t="s">
        <v>169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03.5" hidden="false" customHeight="true" outlineLevel="0" collapsed="false">
      <c r="A31" s="10" t="s">
        <v>170</v>
      </c>
      <c r="B31" s="11" t="s">
        <v>21</v>
      </c>
      <c r="C31" s="11" t="s">
        <v>20</v>
      </c>
      <c r="D31" s="11" t="s">
        <v>21</v>
      </c>
      <c r="E31" s="11" t="s">
        <v>20</v>
      </c>
      <c r="F31" s="16" t="s">
        <v>171</v>
      </c>
      <c r="G31" s="12" t="s">
        <v>172</v>
      </c>
      <c r="H31" s="12" t="s">
        <v>173</v>
      </c>
      <c r="I31" s="12" t="s">
        <v>174</v>
      </c>
      <c r="J31" s="12" t="s">
        <v>175</v>
      </c>
      <c r="K31" s="12" t="s">
        <v>176</v>
      </c>
      <c r="L31" s="12" t="s">
        <v>177</v>
      </c>
      <c r="M31" s="12" t="s">
        <v>178</v>
      </c>
      <c r="N31" s="11" t="s">
        <v>30</v>
      </c>
      <c r="O31" s="9" t="s">
        <v>31</v>
      </c>
      <c r="P31" s="12"/>
    </row>
    <row r="32" customFormat="false" ht="103.5" hidden="false" customHeight="true" outlineLevel="0" collapsed="false">
      <c r="A32" s="5" t="s">
        <v>179</v>
      </c>
      <c r="B32" s="6" t="s">
        <v>21</v>
      </c>
      <c r="C32" s="6" t="s">
        <v>20</v>
      </c>
      <c r="D32" s="6" t="s">
        <v>21</v>
      </c>
      <c r="E32" s="6" t="s">
        <v>20</v>
      </c>
      <c r="F32" s="16" t="s">
        <v>171</v>
      </c>
      <c r="G32" s="8" t="s">
        <v>172</v>
      </c>
      <c r="H32" s="8" t="s">
        <v>173</v>
      </c>
      <c r="I32" s="8" t="s">
        <v>180</v>
      </c>
      <c r="J32" s="8" t="s">
        <v>175</v>
      </c>
      <c r="K32" s="8" t="s">
        <v>181</v>
      </c>
      <c r="L32" s="8" t="s">
        <v>182</v>
      </c>
      <c r="M32" s="8" t="s">
        <v>183</v>
      </c>
      <c r="N32" s="6" t="s">
        <v>39</v>
      </c>
      <c r="O32" s="9" t="s">
        <v>31</v>
      </c>
      <c r="P32" s="8"/>
    </row>
    <row r="33" customFormat="false" ht="103.5" hidden="false" customHeight="true" outlineLevel="0" collapsed="false">
      <c r="A33" s="10" t="s">
        <v>184</v>
      </c>
      <c r="B33" s="11" t="s">
        <v>21</v>
      </c>
      <c r="C33" s="11" t="s">
        <v>20</v>
      </c>
      <c r="D33" s="11" t="s">
        <v>21</v>
      </c>
      <c r="E33" s="11" t="s">
        <v>20</v>
      </c>
      <c r="F33" s="16" t="s">
        <v>171</v>
      </c>
      <c r="G33" s="12" t="s">
        <v>172</v>
      </c>
      <c r="H33" s="12" t="s">
        <v>173</v>
      </c>
      <c r="I33" s="12" t="s">
        <v>185</v>
      </c>
      <c r="J33" s="12" t="s">
        <v>175</v>
      </c>
      <c r="K33" s="12" t="s">
        <v>186</v>
      </c>
      <c r="L33" s="12" t="s">
        <v>187</v>
      </c>
      <c r="M33" s="12" t="s">
        <v>188</v>
      </c>
      <c r="N33" s="11" t="s">
        <v>39</v>
      </c>
      <c r="O33" s="9" t="s">
        <v>31</v>
      </c>
      <c r="P33" s="12"/>
    </row>
    <row r="34" customFormat="false" ht="103.5" hidden="false" customHeight="true" outlineLevel="0" collapsed="false">
      <c r="A34" s="5" t="s">
        <v>189</v>
      </c>
      <c r="B34" s="6" t="s">
        <v>21</v>
      </c>
      <c r="C34" s="6" t="s">
        <v>20</v>
      </c>
      <c r="D34" s="6" t="s">
        <v>20</v>
      </c>
      <c r="E34" s="6" t="s">
        <v>20</v>
      </c>
      <c r="F34" s="16" t="s">
        <v>171</v>
      </c>
      <c r="G34" s="8" t="s">
        <v>172</v>
      </c>
      <c r="H34" s="8" t="s">
        <v>190</v>
      </c>
      <c r="I34" s="8" t="s">
        <v>191</v>
      </c>
      <c r="J34" s="8" t="s">
        <v>64</v>
      </c>
      <c r="K34" s="8" t="s">
        <v>192</v>
      </c>
      <c r="L34" s="8" t="s">
        <v>193</v>
      </c>
      <c r="M34" s="8" t="s">
        <v>194</v>
      </c>
      <c r="N34" s="6" t="s">
        <v>30</v>
      </c>
      <c r="O34" s="9" t="s">
        <v>31</v>
      </c>
      <c r="P34" s="8"/>
    </row>
    <row r="35" customFormat="false" ht="103.5" hidden="false" customHeight="true" outlineLevel="0" collapsed="false">
      <c r="A35" s="10" t="s">
        <v>195</v>
      </c>
      <c r="B35" s="11" t="s">
        <v>21</v>
      </c>
      <c r="C35" s="11" t="s">
        <v>20</v>
      </c>
      <c r="D35" s="11" t="s">
        <v>20</v>
      </c>
      <c r="E35" s="11" t="s">
        <v>20</v>
      </c>
      <c r="F35" s="16" t="s">
        <v>171</v>
      </c>
      <c r="G35" s="12" t="s">
        <v>172</v>
      </c>
      <c r="H35" s="12" t="s">
        <v>196</v>
      </c>
      <c r="I35" s="12" t="s">
        <v>197</v>
      </c>
      <c r="J35" s="12" t="s">
        <v>64</v>
      </c>
      <c r="K35" s="12" t="s">
        <v>198</v>
      </c>
      <c r="L35" s="12" t="s">
        <v>66</v>
      </c>
      <c r="M35" s="12" t="s">
        <v>199</v>
      </c>
      <c r="N35" s="11" t="s">
        <v>39</v>
      </c>
      <c r="O35" s="9" t="s">
        <v>31</v>
      </c>
      <c r="P35" s="12"/>
    </row>
    <row r="36" customFormat="false" ht="19.5" hidden="false" customHeight="true" outlineLevel="0" collapsed="false">
      <c r="A36" s="4" t="s">
        <v>200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customFormat="false" ht="103.5" hidden="false" customHeight="true" outlineLevel="0" collapsed="false">
      <c r="A37" s="5" t="s">
        <v>201</v>
      </c>
      <c r="B37" s="6" t="s">
        <v>21</v>
      </c>
      <c r="C37" s="6" t="s">
        <v>20</v>
      </c>
      <c r="D37" s="6" t="s">
        <v>21</v>
      </c>
      <c r="E37" s="6" t="s">
        <v>20</v>
      </c>
      <c r="F37" s="17" t="s">
        <v>202</v>
      </c>
      <c r="G37" s="8" t="s">
        <v>48</v>
      </c>
      <c r="H37" s="8" t="s">
        <v>203</v>
      </c>
      <c r="I37" s="8" t="s">
        <v>204</v>
      </c>
      <c r="J37" s="8" t="s">
        <v>35</v>
      </c>
      <c r="K37" s="8" t="s">
        <v>205</v>
      </c>
      <c r="L37" s="8" t="s">
        <v>206</v>
      </c>
      <c r="M37" s="8" t="s">
        <v>207</v>
      </c>
      <c r="N37" s="6" t="s">
        <v>89</v>
      </c>
      <c r="O37" s="9" t="s">
        <v>31</v>
      </c>
      <c r="P37" s="8"/>
    </row>
    <row r="38" customFormat="false" ht="103.5" hidden="false" customHeight="true" outlineLevel="0" collapsed="false">
      <c r="A38" s="10" t="s">
        <v>208</v>
      </c>
      <c r="B38" s="11" t="s">
        <v>21</v>
      </c>
      <c r="C38" s="11" t="s">
        <v>20</v>
      </c>
      <c r="D38" s="11" t="s">
        <v>21</v>
      </c>
      <c r="E38" s="11" t="s">
        <v>20</v>
      </c>
      <c r="F38" s="17" t="s">
        <v>202</v>
      </c>
      <c r="G38" s="12" t="s">
        <v>23</v>
      </c>
      <c r="H38" s="12" t="s">
        <v>203</v>
      </c>
      <c r="I38" s="12" t="s">
        <v>209</v>
      </c>
      <c r="J38" s="12" t="s">
        <v>35</v>
      </c>
      <c r="K38" s="12" t="s">
        <v>210</v>
      </c>
      <c r="L38" s="12" t="s">
        <v>206</v>
      </c>
      <c r="M38" s="12" t="s">
        <v>207</v>
      </c>
      <c r="N38" s="11" t="s">
        <v>89</v>
      </c>
      <c r="O38" s="9" t="s">
        <v>31</v>
      </c>
      <c r="P38" s="12"/>
    </row>
    <row r="39" customFormat="false" ht="103.5" hidden="false" customHeight="true" outlineLevel="0" collapsed="false">
      <c r="A39" s="5" t="s">
        <v>211</v>
      </c>
      <c r="B39" s="6" t="s">
        <v>21</v>
      </c>
      <c r="C39" s="6" t="s">
        <v>20</v>
      </c>
      <c r="D39" s="6" t="s">
        <v>20</v>
      </c>
      <c r="E39" s="6" t="s">
        <v>20</v>
      </c>
      <c r="F39" s="17" t="s">
        <v>202</v>
      </c>
      <c r="G39" s="8" t="s">
        <v>23</v>
      </c>
      <c r="H39" s="8" t="s">
        <v>212</v>
      </c>
      <c r="I39" s="8" t="s">
        <v>213</v>
      </c>
      <c r="J39" s="8" t="s">
        <v>73</v>
      </c>
      <c r="K39" s="8" t="s">
        <v>214</v>
      </c>
      <c r="L39" s="8" t="s">
        <v>215</v>
      </c>
      <c r="M39" s="8" t="s">
        <v>216</v>
      </c>
      <c r="N39" s="6" t="s">
        <v>89</v>
      </c>
      <c r="O39" s="9" t="s">
        <v>31</v>
      </c>
      <c r="P39" s="8"/>
    </row>
    <row r="40" customFormat="false" ht="103.5" hidden="false" customHeight="true" outlineLevel="0" collapsed="false">
      <c r="A40" s="10" t="s">
        <v>217</v>
      </c>
      <c r="B40" s="11" t="s">
        <v>21</v>
      </c>
      <c r="C40" s="11" t="s">
        <v>20</v>
      </c>
      <c r="D40" s="11" t="s">
        <v>20</v>
      </c>
      <c r="E40" s="11" t="s">
        <v>20</v>
      </c>
      <c r="F40" s="17" t="s">
        <v>202</v>
      </c>
      <c r="G40" s="12" t="s">
        <v>48</v>
      </c>
      <c r="H40" s="12" t="s">
        <v>212</v>
      </c>
      <c r="I40" s="12" t="s">
        <v>218</v>
      </c>
      <c r="J40" s="12" t="s">
        <v>64</v>
      </c>
      <c r="K40" s="12" t="s">
        <v>219</v>
      </c>
      <c r="L40" s="12" t="s">
        <v>220</v>
      </c>
      <c r="M40" s="12" t="s">
        <v>221</v>
      </c>
      <c r="N40" s="11" t="s">
        <v>89</v>
      </c>
      <c r="O40" s="9" t="s">
        <v>31</v>
      </c>
      <c r="P40" s="12"/>
    </row>
    <row r="41" customFormat="false" ht="103.5" hidden="false" customHeight="true" outlineLevel="0" collapsed="false">
      <c r="A41" s="5" t="s">
        <v>222</v>
      </c>
      <c r="B41" s="6" t="s">
        <v>21</v>
      </c>
      <c r="C41" s="6" t="s">
        <v>20</v>
      </c>
      <c r="D41" s="6" t="s">
        <v>20</v>
      </c>
      <c r="E41" s="6" t="s">
        <v>20</v>
      </c>
      <c r="F41" s="17" t="s">
        <v>202</v>
      </c>
      <c r="G41" s="8" t="s">
        <v>172</v>
      </c>
      <c r="H41" s="8" t="s">
        <v>203</v>
      </c>
      <c r="I41" s="8" t="s">
        <v>223</v>
      </c>
      <c r="J41" s="8" t="s">
        <v>224</v>
      </c>
      <c r="K41" s="8" t="s">
        <v>225</v>
      </c>
      <c r="L41" s="8" t="s">
        <v>206</v>
      </c>
      <c r="M41" s="8" t="s">
        <v>207</v>
      </c>
      <c r="N41" s="6" t="s">
        <v>89</v>
      </c>
      <c r="O41" s="9" t="s">
        <v>31</v>
      </c>
      <c r="P41" s="8"/>
    </row>
  </sheetData>
  <mergeCells count="7">
    <mergeCell ref="A1:P1"/>
    <mergeCell ref="A2:P2"/>
    <mergeCell ref="A4:P4"/>
    <mergeCell ref="A11:P11"/>
    <mergeCell ref="A20:P20"/>
    <mergeCell ref="A30:P30"/>
    <mergeCell ref="A36:P3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27.75" hidden="false" customHeight="true" outlineLevel="0" collapsed="false">
      <c r="A1" s="18" t="s">
        <v>226</v>
      </c>
      <c r="B1" s="18"/>
      <c r="C1" s="18"/>
      <c r="D1" s="18"/>
      <c r="E1" s="18"/>
    </row>
    <row r="3" customFormat="false" ht="21" hidden="false" customHeight="true" outlineLevel="0" collapsed="false">
      <c r="A3" s="19" t="s">
        <v>227</v>
      </c>
      <c r="B3" s="19"/>
      <c r="C3" s="19"/>
      <c r="D3" s="19"/>
      <c r="E3" s="19"/>
    </row>
    <row r="4" customFormat="false" ht="21.75" hidden="false" customHeight="true" outlineLevel="0" collapsed="false">
      <c r="A4" s="20" t="s">
        <v>7</v>
      </c>
      <c r="B4" s="20" t="s">
        <v>228</v>
      </c>
      <c r="C4" s="20" t="s">
        <v>229</v>
      </c>
      <c r="D4" s="20" t="s">
        <v>230</v>
      </c>
      <c r="E4" s="20" t="s">
        <v>231</v>
      </c>
    </row>
    <row r="5" customFormat="false" ht="15" hidden="false" customHeight="false" outlineLevel="0" collapsed="false">
      <c r="A5" s="21" t="s">
        <v>22</v>
      </c>
      <c r="B5" s="22" t="n">
        <f aca="false">COUNTIF('Test Cases'!F5:F41,"Functional")</f>
        <v>6</v>
      </c>
      <c r="C5" s="22" t="n">
        <f aca="false">COUNTIF('Test Cases'!F5:F41,"Functional")</f>
        <v>6</v>
      </c>
      <c r="D5" s="22" t="n">
        <v>0</v>
      </c>
      <c r="E5" s="23" t="s">
        <v>232</v>
      </c>
    </row>
    <row r="6" customFormat="false" ht="15" hidden="false" customHeight="false" outlineLevel="0" collapsed="false">
      <c r="A6" s="24" t="s">
        <v>70</v>
      </c>
      <c r="B6" s="22" t="n">
        <f aca="false">COUNTIF('Test Cases'!F5:F41,"Boundary")</f>
        <v>8</v>
      </c>
      <c r="C6" s="22" t="n">
        <f aca="false">COUNTIF('Test Cases'!F5:F41,"Boundary")</f>
        <v>8</v>
      </c>
      <c r="D6" s="22" t="n">
        <v>0</v>
      </c>
      <c r="E6" s="23" t="s">
        <v>232</v>
      </c>
    </row>
    <row r="7" customFormat="false" ht="15" hidden="false" customHeight="false" outlineLevel="0" collapsed="false">
      <c r="A7" s="25" t="s">
        <v>117</v>
      </c>
      <c r="B7" s="22" t="n">
        <f aca="false">COUNTIF('Test Cases'!F5:F41,"Security")</f>
        <v>9</v>
      </c>
      <c r="C7" s="22" t="n">
        <f aca="false">COUNTIF('Test Cases'!F5:F41,"Security")</f>
        <v>9</v>
      </c>
      <c r="D7" s="22" t="n">
        <v>0</v>
      </c>
      <c r="E7" s="23" t="s">
        <v>232</v>
      </c>
    </row>
    <row r="8" customFormat="false" ht="15" hidden="false" customHeight="false" outlineLevel="0" collapsed="false">
      <c r="A8" s="26" t="s">
        <v>171</v>
      </c>
      <c r="B8" s="22" t="n">
        <f aca="false">COUNTIF('Test Cases'!F5:F41,"Access Control")</f>
        <v>5</v>
      </c>
      <c r="C8" s="22" t="n">
        <f aca="false">COUNTIF('Test Cases'!F5:F41,"Access Control")</f>
        <v>5</v>
      </c>
      <c r="D8" s="22" t="n">
        <v>0</v>
      </c>
      <c r="E8" s="23" t="s">
        <v>232</v>
      </c>
    </row>
    <row r="9" customFormat="false" ht="15" hidden="false" customHeight="false" outlineLevel="0" collapsed="false">
      <c r="A9" s="27" t="s">
        <v>202</v>
      </c>
      <c r="B9" s="22" t="n">
        <f aca="false">COUNTIF('Test Cases'!F5:F41,"Performance")</f>
        <v>5</v>
      </c>
      <c r="C9" s="22" t="n">
        <f aca="false">COUNTIF('Test Cases'!F5:F41,"Performance")</f>
        <v>5</v>
      </c>
      <c r="D9" s="22" t="n">
        <v>0</v>
      </c>
      <c r="E9" s="23" t="s">
        <v>232</v>
      </c>
    </row>
    <row r="10" customFormat="false" ht="15" hidden="false" customHeight="false" outlineLevel="0" collapsed="false">
      <c r="A10" s="28" t="s">
        <v>233</v>
      </c>
      <c r="B10" s="29" t="n">
        <f aca="false">SUM(B5:B9)</f>
        <v>33</v>
      </c>
      <c r="C10" s="29" t="n">
        <f aca="false">SUM(C5:C9)</f>
        <v>33</v>
      </c>
      <c r="D10" s="29" t="n">
        <f aca="false">SUM(D5:D9)</f>
        <v>0</v>
      </c>
      <c r="E10" s="30" t="s">
        <v>232</v>
      </c>
    </row>
    <row r="12" customFormat="false" ht="21" hidden="false" customHeight="true" outlineLevel="0" collapsed="false">
      <c r="A12" s="19" t="s">
        <v>234</v>
      </c>
      <c r="B12" s="19"/>
      <c r="C12" s="19"/>
      <c r="D12" s="19"/>
      <c r="E12" s="19"/>
    </row>
    <row r="13" customFormat="false" ht="21.75" hidden="false" customHeight="true" outlineLevel="0" collapsed="false">
      <c r="A13" s="20" t="s">
        <v>15</v>
      </c>
      <c r="B13" s="20" t="s">
        <v>235</v>
      </c>
      <c r="C13" s="20" t="s">
        <v>236</v>
      </c>
      <c r="D13" s="20"/>
      <c r="E13" s="20"/>
    </row>
    <row r="14" customFormat="false" ht="15" hidden="false" customHeight="false" outlineLevel="0" collapsed="false">
      <c r="A14" s="31" t="s">
        <v>30</v>
      </c>
      <c r="B14" s="22" t="n">
        <f aca="false">COUNTIF('Test Cases'!N5:N41,"P1 - High")</f>
        <v>7</v>
      </c>
      <c r="C14" s="22" t="str">
        <f aca="false">TEXT(B14/B10,"0%")</f>
        <v>21%</v>
      </c>
    </row>
    <row r="15" customFormat="false" ht="15" hidden="false" customHeight="false" outlineLevel="0" collapsed="false">
      <c r="A15" s="31" t="s">
        <v>39</v>
      </c>
      <c r="B15" s="22" t="n">
        <f aca="false">COUNTIF('Test Cases'!N5:N41,"P2 - Medium")</f>
        <v>18</v>
      </c>
      <c r="C15" s="22" t="str">
        <f aca="false">TEXT(B15/B10,"0%")</f>
        <v>55%</v>
      </c>
    </row>
    <row r="16" customFormat="false" ht="15" hidden="false" customHeight="false" outlineLevel="0" collapsed="false">
      <c r="A16" s="31" t="s">
        <v>89</v>
      </c>
      <c r="B16" s="22" t="n">
        <f aca="false">COUNTIF('Test Cases'!N5:N41,"P3 - Low")</f>
        <v>8</v>
      </c>
      <c r="C16" s="22" t="str">
        <f aca="false">TEXT(B16/B10,"0%")</f>
        <v>24%</v>
      </c>
    </row>
    <row r="18" customFormat="false" ht="21" hidden="false" customHeight="true" outlineLevel="0" collapsed="false">
      <c r="A18" s="19" t="s">
        <v>237</v>
      </c>
      <c r="B18" s="19"/>
      <c r="C18" s="19"/>
      <c r="D18" s="19"/>
      <c r="E18" s="19"/>
    </row>
    <row r="19" customFormat="false" ht="21.75" hidden="false" customHeight="true" outlineLevel="0" collapsed="false">
      <c r="A19" s="20" t="s">
        <v>238</v>
      </c>
      <c r="B19" s="20" t="s">
        <v>239</v>
      </c>
      <c r="C19" s="20"/>
      <c r="D19" s="20"/>
      <c r="E19" s="20"/>
    </row>
    <row r="20" customFormat="false" ht="15" hidden="false" customHeight="false" outlineLevel="0" collapsed="false">
      <c r="A20" s="31" t="s">
        <v>240</v>
      </c>
      <c r="B20" s="22" t="n">
        <f aca="false">COUNTIF('Test Cases'!A5:A41,"TC-*")</f>
        <v>33</v>
      </c>
    </row>
    <row r="21" customFormat="false" ht="15" hidden="false" customHeight="false" outlineLevel="0" collapsed="false">
      <c r="A21" s="31" t="s">
        <v>241</v>
      </c>
      <c r="B21" s="22" t="n">
        <f aca="false">COUNTIF('Test Cases'!A5:A41,"TC-*")</f>
        <v>33</v>
      </c>
    </row>
    <row r="22" customFormat="false" ht="15" hidden="false" customHeight="false" outlineLevel="0" collapsed="false">
      <c r="A22" s="31" t="s">
        <v>242</v>
      </c>
      <c r="B22" s="22" t="n">
        <f aca="false">COUNTIF('Test Cases'!B5:B41,"Y")</f>
        <v>4</v>
      </c>
    </row>
    <row r="23" customFormat="false" ht="15" hidden="false" customHeight="false" outlineLevel="0" collapsed="false">
      <c r="A23" s="31" t="s">
        <v>243</v>
      </c>
      <c r="B23" s="22" t="n">
        <f aca="false">COUNTIF('Test Cases'!D5:D41,"Y")</f>
        <v>9</v>
      </c>
    </row>
    <row r="24" customFormat="false" ht="15" hidden="false" customHeight="false" outlineLevel="0" collapsed="false">
      <c r="A24" s="31" t="s">
        <v>244</v>
      </c>
      <c r="B24" s="22" t="n">
        <f aca="false">COUNTIF('Test Cases'!A5:A41,"TC-*")</f>
        <v>33</v>
      </c>
    </row>
    <row r="25" customFormat="false" ht="15" hidden="false" customHeight="false" outlineLevel="0" collapsed="false">
      <c r="A25" s="31" t="s">
        <v>245</v>
      </c>
      <c r="B25" s="22" t="s">
        <v>246</v>
      </c>
    </row>
    <row r="26" customFormat="false" ht="15" hidden="false" customHeight="false" outlineLevel="0" collapsed="false">
      <c r="A26" s="31" t="s">
        <v>247</v>
      </c>
      <c r="B26" s="22" t="s">
        <v>248</v>
      </c>
    </row>
    <row r="27" customFormat="false" ht="15" hidden="false" customHeight="false" outlineLevel="0" collapsed="false">
      <c r="A27" s="31" t="s">
        <v>249</v>
      </c>
      <c r="B27" s="22" t="s">
        <v>250</v>
      </c>
    </row>
    <row r="28" customFormat="false" ht="15" hidden="false" customHeight="false" outlineLevel="0" collapsed="false">
      <c r="A28" s="31" t="s">
        <v>251</v>
      </c>
      <c r="B28" s="22" t="s">
        <v>252</v>
      </c>
    </row>
  </sheetData>
  <mergeCells count="4">
    <mergeCell ref="A1:E1"/>
    <mergeCell ref="A3:E3"/>
    <mergeCell ref="A12:E1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8" t="s">
        <v>253</v>
      </c>
      <c r="B1" s="18"/>
      <c r="C1" s="18"/>
      <c r="D1" s="18"/>
      <c r="E1" s="18"/>
      <c r="F1" s="18"/>
    </row>
    <row r="2" customFormat="false" ht="18" hidden="false" customHeight="true" outlineLevel="0" collapsed="false">
      <c r="A2" s="2" t="s">
        <v>254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20" t="s">
        <v>2</v>
      </c>
      <c r="B3" s="20" t="s">
        <v>7</v>
      </c>
      <c r="C3" s="20" t="s">
        <v>255</v>
      </c>
      <c r="D3" s="20" t="s">
        <v>256</v>
      </c>
      <c r="E3" s="20" t="s">
        <v>257</v>
      </c>
      <c r="F3" s="20" t="s">
        <v>229</v>
      </c>
    </row>
    <row r="4" customFormat="false" ht="30" hidden="false" customHeight="true" outlineLevel="0" collapsed="false">
      <c r="A4" s="32" t="s">
        <v>19</v>
      </c>
      <c r="B4" s="33" t="s">
        <v>22</v>
      </c>
      <c r="C4" s="34" t="s">
        <v>258</v>
      </c>
      <c r="D4" s="34" t="s">
        <v>25</v>
      </c>
      <c r="E4" s="35" t="s">
        <v>259</v>
      </c>
      <c r="F4" s="36" t="s">
        <v>260</v>
      </c>
    </row>
    <row r="5" customFormat="false" ht="30" hidden="false" customHeight="true" outlineLevel="0" collapsed="false">
      <c r="A5" s="37" t="s">
        <v>32</v>
      </c>
      <c r="B5" s="33" t="s">
        <v>22</v>
      </c>
      <c r="C5" s="38" t="s">
        <v>258</v>
      </c>
      <c r="D5" s="38" t="s">
        <v>34</v>
      </c>
      <c r="E5" s="39" t="s">
        <v>261</v>
      </c>
      <c r="F5" s="40" t="s">
        <v>260</v>
      </c>
    </row>
    <row r="6" customFormat="false" ht="30" hidden="false" customHeight="true" outlineLevel="0" collapsed="false">
      <c r="A6" s="32" t="s">
        <v>40</v>
      </c>
      <c r="B6" s="33" t="s">
        <v>22</v>
      </c>
      <c r="C6" s="34" t="s">
        <v>258</v>
      </c>
      <c r="D6" s="34" t="s">
        <v>42</v>
      </c>
      <c r="E6" s="35" t="s">
        <v>261</v>
      </c>
      <c r="F6" s="36" t="s">
        <v>260</v>
      </c>
    </row>
    <row r="7" customFormat="false" ht="30" hidden="false" customHeight="true" outlineLevel="0" collapsed="false">
      <c r="A7" s="37" t="s">
        <v>47</v>
      </c>
      <c r="B7" s="33" t="s">
        <v>22</v>
      </c>
      <c r="C7" s="38" t="s">
        <v>262</v>
      </c>
      <c r="D7" s="38" t="s">
        <v>263</v>
      </c>
      <c r="E7" s="39" t="s">
        <v>264</v>
      </c>
      <c r="F7" s="40" t="s">
        <v>260</v>
      </c>
    </row>
    <row r="8" customFormat="false" ht="30" hidden="false" customHeight="true" outlineLevel="0" collapsed="false">
      <c r="A8" s="32" t="s">
        <v>55</v>
      </c>
      <c r="B8" s="33" t="s">
        <v>22</v>
      </c>
      <c r="C8" s="34" t="s">
        <v>262</v>
      </c>
      <c r="D8" s="34" t="s">
        <v>56</v>
      </c>
      <c r="E8" s="35" t="s">
        <v>265</v>
      </c>
      <c r="F8" s="36" t="s">
        <v>260</v>
      </c>
    </row>
    <row r="9" customFormat="false" ht="30" hidden="false" customHeight="true" outlineLevel="0" collapsed="false">
      <c r="A9" s="37" t="s">
        <v>61</v>
      </c>
      <c r="B9" s="33" t="s">
        <v>22</v>
      </c>
      <c r="C9" s="38" t="s">
        <v>262</v>
      </c>
      <c r="D9" s="38" t="s">
        <v>63</v>
      </c>
      <c r="E9" s="39" t="s">
        <v>266</v>
      </c>
      <c r="F9" s="40" t="s">
        <v>260</v>
      </c>
    </row>
    <row r="10" customFormat="false" ht="30" hidden="false" customHeight="true" outlineLevel="0" collapsed="false">
      <c r="A10" s="32" t="s">
        <v>69</v>
      </c>
      <c r="B10" s="41" t="s">
        <v>70</v>
      </c>
      <c r="C10" s="34" t="s">
        <v>267</v>
      </c>
      <c r="D10" s="34" t="s">
        <v>72</v>
      </c>
      <c r="E10" s="35" t="s">
        <v>268</v>
      </c>
      <c r="F10" s="36" t="s">
        <v>260</v>
      </c>
    </row>
    <row r="11" customFormat="false" ht="30" hidden="false" customHeight="true" outlineLevel="0" collapsed="false">
      <c r="A11" s="37" t="s">
        <v>77</v>
      </c>
      <c r="B11" s="41" t="s">
        <v>70</v>
      </c>
      <c r="C11" s="38" t="s">
        <v>267</v>
      </c>
      <c r="D11" s="38" t="s">
        <v>79</v>
      </c>
      <c r="E11" s="39" t="s">
        <v>268</v>
      </c>
      <c r="F11" s="40" t="s">
        <v>260</v>
      </c>
    </row>
    <row r="12" customFormat="false" ht="30" hidden="false" customHeight="true" outlineLevel="0" collapsed="false">
      <c r="A12" s="32" t="s">
        <v>83</v>
      </c>
      <c r="B12" s="41" t="s">
        <v>70</v>
      </c>
      <c r="C12" s="34" t="s">
        <v>267</v>
      </c>
      <c r="D12" s="34" t="s">
        <v>269</v>
      </c>
      <c r="E12" s="35" t="s">
        <v>270</v>
      </c>
      <c r="F12" s="36" t="s">
        <v>260</v>
      </c>
    </row>
    <row r="13" customFormat="false" ht="30" hidden="false" customHeight="true" outlineLevel="0" collapsed="false">
      <c r="A13" s="37" t="s">
        <v>90</v>
      </c>
      <c r="B13" s="41" t="s">
        <v>70</v>
      </c>
      <c r="C13" s="38" t="s">
        <v>267</v>
      </c>
      <c r="D13" s="38" t="s">
        <v>271</v>
      </c>
      <c r="E13" s="39" t="s">
        <v>270</v>
      </c>
      <c r="F13" s="40" t="s">
        <v>260</v>
      </c>
    </row>
    <row r="14" customFormat="false" ht="30" hidden="false" customHeight="true" outlineLevel="0" collapsed="false">
      <c r="A14" s="32" t="s">
        <v>95</v>
      </c>
      <c r="B14" s="41" t="s">
        <v>70</v>
      </c>
      <c r="C14" s="34" t="s">
        <v>267</v>
      </c>
      <c r="D14" s="34" t="s">
        <v>272</v>
      </c>
      <c r="E14" s="35" t="s">
        <v>270</v>
      </c>
      <c r="F14" s="36" t="s">
        <v>260</v>
      </c>
    </row>
    <row r="15" customFormat="false" ht="30" hidden="false" customHeight="true" outlineLevel="0" collapsed="false">
      <c r="A15" s="37" t="s">
        <v>100</v>
      </c>
      <c r="B15" s="41" t="s">
        <v>70</v>
      </c>
      <c r="C15" s="38" t="s">
        <v>267</v>
      </c>
      <c r="D15" s="38" t="s">
        <v>273</v>
      </c>
      <c r="E15" s="39" t="s">
        <v>268</v>
      </c>
      <c r="F15" s="40" t="s">
        <v>260</v>
      </c>
    </row>
    <row r="16" customFormat="false" ht="30" hidden="false" customHeight="true" outlineLevel="0" collapsed="false">
      <c r="A16" s="32" t="s">
        <v>106</v>
      </c>
      <c r="B16" s="41" t="s">
        <v>70</v>
      </c>
      <c r="C16" s="34" t="s">
        <v>267</v>
      </c>
      <c r="D16" s="34" t="s">
        <v>274</v>
      </c>
      <c r="E16" s="35" t="s">
        <v>268</v>
      </c>
      <c r="F16" s="36" t="s">
        <v>260</v>
      </c>
    </row>
    <row r="17" customFormat="false" ht="30" hidden="false" customHeight="true" outlineLevel="0" collapsed="false">
      <c r="A17" s="37" t="s">
        <v>110</v>
      </c>
      <c r="B17" s="41" t="s">
        <v>70</v>
      </c>
      <c r="C17" s="38" t="s">
        <v>267</v>
      </c>
      <c r="D17" s="38" t="s">
        <v>275</v>
      </c>
      <c r="E17" s="39" t="s">
        <v>268</v>
      </c>
      <c r="F17" s="40" t="s">
        <v>260</v>
      </c>
    </row>
    <row r="18" customFormat="false" ht="30" hidden="false" customHeight="true" outlineLevel="0" collapsed="false">
      <c r="A18" s="32" t="s">
        <v>116</v>
      </c>
      <c r="B18" s="42" t="s">
        <v>117</v>
      </c>
      <c r="C18" s="34" t="s">
        <v>276</v>
      </c>
      <c r="D18" s="34" t="s">
        <v>277</v>
      </c>
      <c r="E18" s="35" t="s">
        <v>278</v>
      </c>
      <c r="F18" s="36" t="s">
        <v>260</v>
      </c>
    </row>
    <row r="19" customFormat="false" ht="30" hidden="false" customHeight="true" outlineLevel="0" collapsed="false">
      <c r="A19" s="37" t="s">
        <v>123</v>
      </c>
      <c r="B19" s="42" t="s">
        <v>117</v>
      </c>
      <c r="C19" s="38" t="s">
        <v>276</v>
      </c>
      <c r="D19" s="38" t="s">
        <v>279</v>
      </c>
      <c r="E19" s="39" t="s">
        <v>278</v>
      </c>
      <c r="F19" s="40" t="s">
        <v>260</v>
      </c>
    </row>
    <row r="20" customFormat="false" ht="30" hidden="false" customHeight="true" outlineLevel="0" collapsed="false">
      <c r="A20" s="32" t="s">
        <v>127</v>
      </c>
      <c r="B20" s="42" t="s">
        <v>117</v>
      </c>
      <c r="C20" s="34" t="s">
        <v>276</v>
      </c>
      <c r="D20" s="34" t="s">
        <v>280</v>
      </c>
      <c r="E20" s="35" t="s">
        <v>278</v>
      </c>
      <c r="F20" s="36" t="s">
        <v>260</v>
      </c>
    </row>
    <row r="21" customFormat="false" ht="30" hidden="false" customHeight="true" outlineLevel="0" collapsed="false">
      <c r="A21" s="37" t="s">
        <v>132</v>
      </c>
      <c r="B21" s="42" t="s">
        <v>117</v>
      </c>
      <c r="C21" s="38" t="s">
        <v>276</v>
      </c>
      <c r="D21" s="38" t="s">
        <v>134</v>
      </c>
      <c r="E21" s="39" t="s">
        <v>281</v>
      </c>
      <c r="F21" s="40" t="s">
        <v>260</v>
      </c>
    </row>
    <row r="22" customFormat="false" ht="30" hidden="false" customHeight="true" outlineLevel="0" collapsed="false">
      <c r="A22" s="32" t="s">
        <v>138</v>
      </c>
      <c r="B22" s="42" t="s">
        <v>117</v>
      </c>
      <c r="C22" s="34" t="s">
        <v>276</v>
      </c>
      <c r="D22" s="34" t="s">
        <v>282</v>
      </c>
      <c r="E22" s="35" t="s">
        <v>283</v>
      </c>
      <c r="F22" s="36" t="s">
        <v>260</v>
      </c>
    </row>
    <row r="23" customFormat="false" ht="30" hidden="false" customHeight="true" outlineLevel="0" collapsed="false">
      <c r="A23" s="37" t="s">
        <v>145</v>
      </c>
      <c r="B23" s="42" t="s">
        <v>117</v>
      </c>
      <c r="C23" s="38" t="s">
        <v>276</v>
      </c>
      <c r="D23" s="38" t="s">
        <v>148</v>
      </c>
      <c r="E23" s="39" t="s">
        <v>278</v>
      </c>
      <c r="F23" s="40" t="s">
        <v>260</v>
      </c>
    </row>
    <row r="24" customFormat="false" ht="30" hidden="false" customHeight="true" outlineLevel="0" collapsed="false">
      <c r="A24" s="32" t="s">
        <v>152</v>
      </c>
      <c r="B24" s="42" t="s">
        <v>117</v>
      </c>
      <c r="C24" s="34" t="s">
        <v>276</v>
      </c>
      <c r="D24" s="34" t="s">
        <v>154</v>
      </c>
      <c r="E24" s="35" t="s">
        <v>278</v>
      </c>
      <c r="F24" s="36" t="s">
        <v>260</v>
      </c>
    </row>
    <row r="25" customFormat="false" ht="30" hidden="false" customHeight="true" outlineLevel="0" collapsed="false">
      <c r="A25" s="37" t="s">
        <v>157</v>
      </c>
      <c r="B25" s="42" t="s">
        <v>117</v>
      </c>
      <c r="C25" s="38" t="s">
        <v>276</v>
      </c>
      <c r="D25" s="38" t="s">
        <v>159</v>
      </c>
      <c r="E25" s="39" t="s">
        <v>281</v>
      </c>
      <c r="F25" s="40" t="s">
        <v>260</v>
      </c>
    </row>
    <row r="26" customFormat="false" ht="30" hidden="false" customHeight="true" outlineLevel="0" collapsed="false">
      <c r="A26" s="32" t="s">
        <v>163</v>
      </c>
      <c r="B26" s="42" t="s">
        <v>117</v>
      </c>
      <c r="C26" s="34" t="s">
        <v>276</v>
      </c>
      <c r="D26" s="34" t="s">
        <v>165</v>
      </c>
      <c r="E26" s="35" t="s">
        <v>281</v>
      </c>
      <c r="F26" s="36" t="s">
        <v>260</v>
      </c>
    </row>
    <row r="27" customFormat="false" ht="30" hidden="false" customHeight="true" outlineLevel="0" collapsed="false">
      <c r="A27" s="37" t="s">
        <v>170</v>
      </c>
      <c r="B27" s="43" t="s">
        <v>171</v>
      </c>
      <c r="C27" s="38" t="s">
        <v>284</v>
      </c>
      <c r="D27" s="38" t="s">
        <v>285</v>
      </c>
      <c r="E27" s="39" t="s">
        <v>286</v>
      </c>
      <c r="F27" s="40" t="s">
        <v>260</v>
      </c>
    </row>
    <row r="28" customFormat="false" ht="30" hidden="false" customHeight="true" outlineLevel="0" collapsed="false">
      <c r="A28" s="32" t="s">
        <v>179</v>
      </c>
      <c r="B28" s="43" t="s">
        <v>171</v>
      </c>
      <c r="C28" s="34" t="s">
        <v>284</v>
      </c>
      <c r="D28" s="34" t="s">
        <v>287</v>
      </c>
      <c r="E28" s="35" t="s">
        <v>286</v>
      </c>
      <c r="F28" s="36" t="s">
        <v>260</v>
      </c>
    </row>
    <row r="29" customFormat="false" ht="30" hidden="false" customHeight="true" outlineLevel="0" collapsed="false">
      <c r="A29" s="37" t="s">
        <v>184</v>
      </c>
      <c r="B29" s="43" t="s">
        <v>171</v>
      </c>
      <c r="C29" s="38" t="s">
        <v>284</v>
      </c>
      <c r="D29" s="38" t="s">
        <v>288</v>
      </c>
      <c r="E29" s="39" t="s">
        <v>286</v>
      </c>
      <c r="F29" s="40" t="s">
        <v>260</v>
      </c>
    </row>
    <row r="30" customFormat="false" ht="30" hidden="false" customHeight="true" outlineLevel="0" collapsed="false">
      <c r="A30" s="32" t="s">
        <v>189</v>
      </c>
      <c r="B30" s="43" t="s">
        <v>171</v>
      </c>
      <c r="C30" s="34" t="s">
        <v>284</v>
      </c>
      <c r="D30" s="34" t="s">
        <v>289</v>
      </c>
      <c r="E30" s="35" t="s">
        <v>286</v>
      </c>
      <c r="F30" s="36" t="s">
        <v>260</v>
      </c>
    </row>
    <row r="31" customFormat="false" ht="30" hidden="false" customHeight="true" outlineLevel="0" collapsed="false">
      <c r="A31" s="37" t="s">
        <v>195</v>
      </c>
      <c r="B31" s="43" t="s">
        <v>171</v>
      </c>
      <c r="C31" s="38" t="s">
        <v>284</v>
      </c>
      <c r="D31" s="38" t="s">
        <v>197</v>
      </c>
      <c r="E31" s="39" t="s">
        <v>290</v>
      </c>
      <c r="F31" s="40" t="s">
        <v>260</v>
      </c>
    </row>
    <row r="32" customFormat="false" ht="30" hidden="false" customHeight="true" outlineLevel="0" collapsed="false">
      <c r="A32" s="32" t="s">
        <v>201</v>
      </c>
      <c r="B32" s="44" t="s">
        <v>202</v>
      </c>
      <c r="C32" s="34" t="s">
        <v>291</v>
      </c>
      <c r="D32" s="34" t="s">
        <v>204</v>
      </c>
      <c r="E32" s="35" t="s">
        <v>292</v>
      </c>
      <c r="F32" s="36" t="s">
        <v>260</v>
      </c>
    </row>
    <row r="33" customFormat="false" ht="30" hidden="false" customHeight="true" outlineLevel="0" collapsed="false">
      <c r="A33" s="37" t="s">
        <v>208</v>
      </c>
      <c r="B33" s="44" t="s">
        <v>202</v>
      </c>
      <c r="C33" s="38" t="s">
        <v>291</v>
      </c>
      <c r="D33" s="38" t="s">
        <v>209</v>
      </c>
      <c r="E33" s="39" t="s">
        <v>292</v>
      </c>
      <c r="F33" s="40" t="s">
        <v>260</v>
      </c>
    </row>
    <row r="34" customFormat="false" ht="30" hidden="false" customHeight="true" outlineLevel="0" collapsed="false">
      <c r="A34" s="32" t="s">
        <v>211</v>
      </c>
      <c r="B34" s="44" t="s">
        <v>202</v>
      </c>
      <c r="C34" s="34" t="s">
        <v>291</v>
      </c>
      <c r="D34" s="34" t="s">
        <v>213</v>
      </c>
      <c r="E34" s="35" t="s">
        <v>292</v>
      </c>
      <c r="F34" s="36" t="s">
        <v>260</v>
      </c>
    </row>
    <row r="35" customFormat="false" ht="30" hidden="false" customHeight="true" outlineLevel="0" collapsed="false">
      <c r="A35" s="37" t="s">
        <v>217</v>
      </c>
      <c r="B35" s="44" t="s">
        <v>202</v>
      </c>
      <c r="C35" s="38" t="s">
        <v>291</v>
      </c>
      <c r="D35" s="38" t="s">
        <v>218</v>
      </c>
      <c r="E35" s="39" t="s">
        <v>292</v>
      </c>
      <c r="F35" s="40" t="s">
        <v>260</v>
      </c>
    </row>
    <row r="36" customFormat="false" ht="30" hidden="false" customHeight="true" outlineLevel="0" collapsed="false">
      <c r="A36" s="32" t="s">
        <v>222</v>
      </c>
      <c r="B36" s="44" t="s">
        <v>202</v>
      </c>
      <c r="C36" s="34" t="s">
        <v>291</v>
      </c>
      <c r="D36" s="34" t="s">
        <v>223</v>
      </c>
      <c r="E36" s="35" t="s">
        <v>292</v>
      </c>
      <c r="F36" s="36" t="s">
        <v>260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7.75" hidden="false" customHeight="true" outlineLevel="0" collapsed="false">
      <c r="A1" s="18" t="s">
        <v>293</v>
      </c>
      <c r="B1" s="18"/>
      <c r="C1" s="18"/>
      <c r="D1" s="18"/>
      <c r="E1" s="18"/>
      <c r="F1" s="18"/>
    </row>
    <row r="3" customFormat="false" ht="21" hidden="false" customHeight="true" outlineLevel="0" collapsed="false">
      <c r="A3" s="19" t="s">
        <v>294</v>
      </c>
      <c r="B3" s="19"/>
      <c r="C3" s="19"/>
      <c r="D3" s="19"/>
      <c r="E3" s="19"/>
      <c r="F3" s="19"/>
    </row>
    <row r="4" customFormat="false" ht="15" hidden="false" customHeight="false" outlineLevel="0" collapsed="false">
      <c r="A4" s="45" t="s">
        <v>295</v>
      </c>
      <c r="B4" s="45" t="s">
        <v>229</v>
      </c>
      <c r="C4" s="45" t="s">
        <v>296</v>
      </c>
      <c r="D4" s="45" t="s">
        <v>297</v>
      </c>
      <c r="E4" s="45" t="s">
        <v>298</v>
      </c>
      <c r="F4" s="45" t="s">
        <v>299</v>
      </c>
    </row>
    <row r="5" customFormat="false" ht="33.75" hidden="false" customHeight="true" outlineLevel="0" collapsed="false">
      <c r="A5" s="46" t="n">
        <f aca="false">COUNTIF('Test Cases'!A5:A41,"TC-*")</f>
        <v>33</v>
      </c>
      <c r="B5" s="47" t="n">
        <f aca="false">COUNTIF('Test Cases'!A5:A41,"TC-*")</f>
        <v>33</v>
      </c>
      <c r="C5" s="46" t="s">
        <v>246</v>
      </c>
      <c r="D5" s="46" t="s">
        <v>248</v>
      </c>
      <c r="E5" s="46" t="n">
        <f aca="false">COUNTIF('Test Cases'!B5:B41,"Y")</f>
        <v>4</v>
      </c>
      <c r="F5" s="46" t="n">
        <f aca="false">COUNTIF('Test Cases'!D5:D41,"Y")</f>
        <v>9</v>
      </c>
    </row>
    <row r="7" customFormat="false" ht="21" hidden="false" customHeight="true" outlineLevel="0" collapsed="false">
      <c r="A7" s="19" t="s">
        <v>300</v>
      </c>
      <c r="B7" s="19"/>
      <c r="C7" s="19"/>
      <c r="D7" s="19"/>
      <c r="E7" s="19"/>
      <c r="F7" s="19"/>
    </row>
    <row r="8" customFormat="false" ht="21.75" hidden="false" customHeight="true" outlineLevel="0" collapsed="false">
      <c r="A8" s="20" t="s">
        <v>7</v>
      </c>
      <c r="B8" s="20" t="s">
        <v>235</v>
      </c>
      <c r="C8" s="20" t="s">
        <v>301</v>
      </c>
      <c r="D8" s="20" t="s">
        <v>7</v>
      </c>
      <c r="E8" s="20" t="s">
        <v>235</v>
      </c>
      <c r="F8" s="20" t="s">
        <v>301</v>
      </c>
    </row>
    <row r="9" customFormat="false" ht="15" hidden="false" customHeight="false" outlineLevel="0" collapsed="false">
      <c r="A9" s="21" t="s">
        <v>22</v>
      </c>
      <c r="B9" s="22" t="n">
        <f aca="false">COUNTIF('Test Cases'!F5:F41,"Functional")</f>
        <v>6</v>
      </c>
      <c r="C9" s="22" t="str">
        <f aca="false">TEXT(B9/COUNTIF('Test Cases'!A5:A41,"TC-*"),"0%")</f>
        <v>18%</v>
      </c>
      <c r="D9" s="26" t="s">
        <v>171</v>
      </c>
      <c r="E9" s="22" t="n">
        <f aca="false">COUNTIF('Test Cases'!F5:F41,"Access Control")</f>
        <v>5</v>
      </c>
      <c r="F9" s="22" t="str">
        <f aca="false">TEXT(E9/COUNTIF('Test Cases'!A5:A41,"TC-*"),"0%")</f>
        <v>15%</v>
      </c>
    </row>
    <row r="10" customFormat="false" ht="15" hidden="false" customHeight="false" outlineLevel="0" collapsed="false">
      <c r="A10" s="24" t="s">
        <v>70</v>
      </c>
      <c r="B10" s="22" t="n">
        <f aca="false">COUNTIF('Test Cases'!F5:F41,"Boundary")</f>
        <v>8</v>
      </c>
      <c r="C10" s="22" t="str">
        <f aca="false">TEXT(B10/COUNTIF('Test Cases'!A5:A41,"TC-*"),"0%")</f>
        <v>24%</v>
      </c>
      <c r="D10" s="27" t="s">
        <v>202</v>
      </c>
      <c r="E10" s="22" t="n">
        <f aca="false">COUNTIF('Test Cases'!F5:F41,"Performance")</f>
        <v>5</v>
      </c>
      <c r="F10" s="22" t="str">
        <f aca="false">TEXT(E10/COUNTIF('Test Cases'!A5:A41,"TC-*"),"0%")</f>
        <v>15%</v>
      </c>
    </row>
    <row r="11" customFormat="false" ht="15" hidden="false" customHeight="false" outlineLevel="0" collapsed="false">
      <c r="A11" s="25" t="s">
        <v>117</v>
      </c>
      <c r="B11" s="22" t="n">
        <f aca="false">COUNTIF('Test Cases'!F5:F41,"Security")</f>
        <v>9</v>
      </c>
      <c r="C11" s="22" t="str">
        <f aca="false">TEXT(B11/COUNTIF('Test Cases'!A5:A41,"TC-*"),"0%")</f>
        <v>27%</v>
      </c>
    </row>
    <row r="13" customFormat="false" ht="21" hidden="false" customHeight="true" outlineLevel="0" collapsed="false">
      <c r="A13" s="19" t="s">
        <v>302</v>
      </c>
      <c r="B13" s="19"/>
      <c r="C13" s="19"/>
      <c r="D13" s="19"/>
      <c r="E13" s="19"/>
      <c r="F13" s="19"/>
    </row>
    <row r="14" customFormat="false" ht="21.75" hidden="false" customHeight="true" outlineLevel="0" collapsed="false">
      <c r="A14" s="20" t="s">
        <v>16</v>
      </c>
      <c r="B14" s="20" t="s">
        <v>235</v>
      </c>
      <c r="C14" s="20" t="s">
        <v>303</v>
      </c>
      <c r="D14" s="20"/>
      <c r="E14" s="20"/>
      <c r="F14" s="20"/>
    </row>
    <row r="15" customFormat="false" ht="15" hidden="false" customHeight="false" outlineLevel="0" collapsed="false">
      <c r="A15" s="48" t="s">
        <v>31</v>
      </c>
      <c r="B15" s="22" t="n">
        <f aca="false">COUNTIF('Test Cases'!O5:O41,"Pass")</f>
        <v>32</v>
      </c>
      <c r="C15" s="49" t="s">
        <v>304</v>
      </c>
      <c r="D15" s="49"/>
      <c r="E15" s="49"/>
      <c r="F15" s="49"/>
    </row>
    <row r="16" customFormat="false" ht="15" hidden="false" customHeight="false" outlineLevel="0" collapsed="false">
      <c r="A16" s="50" t="s">
        <v>143</v>
      </c>
      <c r="B16" s="22" t="n">
        <f aca="false">COUNTIF('Test Cases'!O5:O41,"Observation")</f>
        <v>1</v>
      </c>
      <c r="C16" s="49" t="s">
        <v>305</v>
      </c>
      <c r="D16" s="49"/>
      <c r="E16" s="49"/>
      <c r="F16" s="49"/>
    </row>
    <row r="17" customFormat="false" ht="15" hidden="false" customHeight="false" outlineLevel="0" collapsed="false">
      <c r="A17" s="28" t="s">
        <v>306</v>
      </c>
      <c r="B17" s="51" t="s">
        <v>307</v>
      </c>
      <c r="C17" s="51"/>
      <c r="D17" s="51"/>
      <c r="E17" s="51"/>
      <c r="F17" s="51"/>
    </row>
  </sheetData>
  <mergeCells count="7">
    <mergeCell ref="A1:F1"/>
    <mergeCell ref="A3:F3"/>
    <mergeCell ref="A7:F7"/>
    <mergeCell ref="A13:F13"/>
    <mergeCell ref="C15:F15"/>
    <mergeCell ref="C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6"/>
  </cols>
  <sheetData>
    <row r="1" customFormat="false" ht="27.75" hidden="false" customHeight="true" outlineLevel="0" collapsed="false">
      <c r="A1" s="18" t="s">
        <v>308</v>
      </c>
      <c r="B1" s="18"/>
    </row>
    <row r="2" customFormat="false" ht="19.5" hidden="false" customHeight="true" outlineLevel="0" collapsed="false">
      <c r="A2" s="52" t="s">
        <v>309</v>
      </c>
      <c r="B2" s="52"/>
    </row>
    <row r="3" customFormat="false" ht="30" hidden="false" customHeight="true" outlineLevel="0" collapsed="false">
      <c r="A3" s="53" t="s">
        <v>310</v>
      </c>
      <c r="B3" s="54" t="s">
        <v>311</v>
      </c>
    </row>
    <row r="4" customFormat="false" ht="30" hidden="false" customHeight="true" outlineLevel="0" collapsed="false">
      <c r="A4" s="53" t="s">
        <v>312</v>
      </c>
      <c r="B4" s="54" t="s">
        <v>313</v>
      </c>
    </row>
    <row r="5" customFormat="false" ht="30" hidden="false" customHeight="true" outlineLevel="0" collapsed="false">
      <c r="A5" s="53" t="s">
        <v>314</v>
      </c>
      <c r="B5" s="54" t="s">
        <v>315</v>
      </c>
    </row>
    <row r="6" customFormat="false" ht="30" hidden="false" customHeight="true" outlineLevel="0" collapsed="false">
      <c r="A6" s="53" t="s">
        <v>316</v>
      </c>
      <c r="B6" s="54" t="s">
        <v>317</v>
      </c>
    </row>
    <row r="7" customFormat="false" ht="30" hidden="false" customHeight="true" outlineLevel="0" collapsed="false">
      <c r="A7" s="53" t="s">
        <v>318</v>
      </c>
      <c r="B7" s="54" t="s">
        <v>319</v>
      </c>
    </row>
    <row r="8" customFormat="false" ht="19.5" hidden="false" customHeight="true" outlineLevel="0" collapsed="false">
      <c r="A8" s="52" t="s">
        <v>320</v>
      </c>
      <c r="B8" s="52"/>
    </row>
    <row r="9" customFormat="false" ht="30" hidden="false" customHeight="true" outlineLevel="0" collapsed="false">
      <c r="A9" s="53" t="s">
        <v>321</v>
      </c>
      <c r="B9" s="54" t="s">
        <v>322</v>
      </c>
    </row>
    <row r="10" customFormat="false" ht="30" hidden="false" customHeight="true" outlineLevel="0" collapsed="false">
      <c r="A10" s="53" t="s">
        <v>6</v>
      </c>
      <c r="B10" s="54" t="s">
        <v>323</v>
      </c>
    </row>
    <row r="11" customFormat="false" ht="30" hidden="false" customHeight="true" outlineLevel="0" collapsed="false">
      <c r="A11" s="53" t="s">
        <v>7</v>
      </c>
      <c r="B11" s="54" t="s">
        <v>324</v>
      </c>
    </row>
    <row r="12" customFormat="false" ht="30" hidden="false" customHeight="true" outlineLevel="0" collapsed="false">
      <c r="A12" s="53" t="s">
        <v>15</v>
      </c>
      <c r="B12" s="54" t="s">
        <v>325</v>
      </c>
    </row>
    <row r="13" customFormat="false" ht="30" hidden="false" customHeight="true" outlineLevel="0" collapsed="false">
      <c r="A13" s="53" t="s">
        <v>16</v>
      </c>
      <c r="B13" s="54" t="s">
        <v>326</v>
      </c>
    </row>
    <row r="14" customFormat="false" ht="30" hidden="false" customHeight="true" outlineLevel="0" collapsed="false">
      <c r="A14" s="53" t="s">
        <v>17</v>
      </c>
      <c r="B14" s="54" t="s">
        <v>327</v>
      </c>
    </row>
    <row r="15" customFormat="false" ht="19.5" hidden="false" customHeight="true" outlineLevel="0" collapsed="false">
      <c r="A15" s="52" t="s">
        <v>328</v>
      </c>
      <c r="B15" s="52"/>
    </row>
    <row r="16" customFormat="false" ht="30" hidden="false" customHeight="true" outlineLevel="0" collapsed="false">
      <c r="A16" s="55" t="s">
        <v>329</v>
      </c>
      <c r="B16" s="54" t="s">
        <v>31</v>
      </c>
    </row>
    <row r="17" customFormat="false" ht="30" hidden="false" customHeight="true" outlineLevel="0" collapsed="false">
      <c r="A17" s="56" t="s">
        <v>330</v>
      </c>
      <c r="B17" s="54" t="s">
        <v>331</v>
      </c>
    </row>
    <row r="18" customFormat="false" ht="30" hidden="false" customHeight="true" outlineLevel="0" collapsed="false">
      <c r="A18" s="57" t="s">
        <v>332</v>
      </c>
      <c r="B18" s="54" t="s">
        <v>333</v>
      </c>
    </row>
    <row r="19" customFormat="false" ht="30" hidden="false" customHeight="true" outlineLevel="0" collapsed="false">
      <c r="A19" s="58" t="s">
        <v>334</v>
      </c>
      <c r="B19" s="54" t="s">
        <v>143</v>
      </c>
    </row>
    <row r="20" customFormat="false" ht="30" hidden="false" customHeight="true" outlineLevel="0" collapsed="false">
      <c r="A20" s="59" t="s">
        <v>335</v>
      </c>
      <c r="B20" s="54" t="s">
        <v>336</v>
      </c>
    </row>
    <row r="21" customFormat="false" ht="19.5" hidden="false" customHeight="true" outlineLevel="0" collapsed="false">
      <c r="A21" s="52" t="s">
        <v>337</v>
      </c>
      <c r="B21" s="52"/>
    </row>
    <row r="22" customFormat="false" ht="30" hidden="false" customHeight="true" outlineLevel="0" collapsed="false">
      <c r="A22" s="53" t="s">
        <v>22</v>
      </c>
      <c r="B22" s="54" t="s">
        <v>338</v>
      </c>
    </row>
    <row r="23" customFormat="false" ht="45.75" hidden="false" customHeight="true" outlineLevel="0" collapsed="false">
      <c r="A23" s="53" t="s">
        <v>70</v>
      </c>
      <c r="B23" s="54" t="s">
        <v>339</v>
      </c>
    </row>
    <row r="24" customFormat="false" ht="45.75" hidden="false" customHeight="true" outlineLevel="0" collapsed="false">
      <c r="A24" s="53" t="s">
        <v>117</v>
      </c>
      <c r="B24" s="54" t="s">
        <v>340</v>
      </c>
    </row>
    <row r="25" customFormat="false" ht="30" hidden="false" customHeight="true" outlineLevel="0" collapsed="false">
      <c r="A25" s="53" t="s">
        <v>171</v>
      </c>
      <c r="B25" s="54" t="s">
        <v>341</v>
      </c>
    </row>
    <row r="26" customFormat="false" ht="45.75" hidden="false" customHeight="true" outlineLevel="0" collapsed="false">
      <c r="A26" s="53" t="s">
        <v>202</v>
      </c>
      <c r="B26" s="54" t="s">
        <v>342</v>
      </c>
    </row>
    <row r="27" customFormat="false" ht="19.5" hidden="false" customHeight="true" outlineLevel="0" collapsed="false">
      <c r="A27" s="52" t="s">
        <v>343</v>
      </c>
      <c r="B27" s="52"/>
    </row>
    <row r="28" customFormat="false" ht="30" hidden="false" customHeight="true" outlineLevel="0" collapsed="false">
      <c r="A28" s="53" t="s">
        <v>344</v>
      </c>
      <c r="B28" s="54" t="s">
        <v>345</v>
      </c>
    </row>
    <row r="29" customFormat="false" ht="30" hidden="false" customHeight="true" outlineLevel="0" collapsed="false">
      <c r="A29" s="53" t="s">
        <v>346</v>
      </c>
      <c r="B29" s="54" t="s">
        <v>347</v>
      </c>
    </row>
    <row r="30" customFormat="false" ht="30" hidden="false" customHeight="true" outlineLevel="0" collapsed="false">
      <c r="A30" s="53" t="s">
        <v>348</v>
      </c>
      <c r="B30" s="54" t="s">
        <v>349</v>
      </c>
    </row>
    <row r="31" customFormat="false" ht="19.5" hidden="false" customHeight="true" outlineLevel="0" collapsed="false">
      <c r="A31" s="52" t="s">
        <v>350</v>
      </c>
      <c r="B31" s="52"/>
    </row>
    <row r="32" customFormat="false" ht="45.75" hidden="false" customHeight="true" outlineLevel="0" collapsed="false">
      <c r="A32" s="53" t="s">
        <v>351</v>
      </c>
      <c r="B32" s="54" t="s">
        <v>352</v>
      </c>
    </row>
  </sheetData>
  <mergeCells count="7">
    <mergeCell ref="A1:B1"/>
    <mergeCell ref="A2:B2"/>
    <mergeCell ref="A8:B8"/>
    <mergeCell ref="A15:B15"/>
    <mergeCell ref="A21:B21"/>
    <mergeCell ref="A27:B27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2026-05-24T13:44:46Z</dcterms:created>
  <dc:creator>openpyxl</dc:creator>
  <dc:description/>
  <dc:language>en-US</dc:language>
  <cp:lastModifiedBy/>
  <dcterms:modified xsi:type="dcterms:W3CDTF">2026-05-24T13:44:46Z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